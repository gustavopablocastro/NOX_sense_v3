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Mi unidad\UNRAF\LAB TD\PROYECTOS\2024 SAT - Nitric Oxide Sensor\Tecnica\SENSORES GAS\ALPHASENSE\"/>
    </mc:Choice>
  </mc:AlternateContent>
  <xr:revisionPtr revIDLastSave="0" documentId="13_ncr:1_{22AF8372-B057-4D77-980F-EE4A7A905A9C}" xr6:coauthVersionLast="47" xr6:coauthVersionMax="47" xr10:uidLastSave="{00000000-0000-0000-0000-000000000000}"/>
  <bookViews>
    <workbookView xWindow="1920" yWindow="7650" windowWidth="26190" windowHeight="13620" xr2:uid="{00000000-000D-0000-FFFF-FFFF00000000}"/>
  </bookViews>
  <sheets>
    <sheet name="FINAL v3" sheetId="13" r:id="rId1"/>
    <sheet name="FINAL v2" sheetId="12" r:id="rId2"/>
    <sheet name="Algoritmos Factores" sheetId="10" r:id="rId3"/>
    <sheet name="GENERAL" sheetId="1" r:id="rId4"/>
    <sheet name="WET_ensayo" sheetId="11" r:id="rId5"/>
    <sheet name="WET_4" sheetId="9" r:id="rId6"/>
    <sheet name="WET_3" sheetId="8" r:id="rId7"/>
    <sheet name="WET_2" sheetId="7" r:id="rId8"/>
    <sheet name="WET sin flujo" sheetId="2" r:id="rId9"/>
    <sheet name="WET con flujo" sheetId="3" r:id="rId10"/>
    <sheet name="WEe sin flujo" sheetId="4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13" l="1"/>
  <c r="G7" i="13"/>
  <c r="F7" i="13"/>
  <c r="J6" i="13"/>
  <c r="P6" i="13" s="1"/>
  <c r="S6" i="13" s="1"/>
  <c r="G6" i="13"/>
  <c r="F6" i="13"/>
  <c r="F5" i="13"/>
  <c r="AA47" i="11"/>
  <c r="Z47" i="11"/>
  <c r="J5" i="13"/>
  <c r="G5" i="13"/>
  <c r="W9" i="1"/>
  <c r="J10" i="12"/>
  <c r="G10" i="12"/>
  <c r="F10" i="12"/>
  <c r="J9" i="12"/>
  <c r="G9" i="12"/>
  <c r="F9" i="12"/>
  <c r="K32" i="1"/>
  <c r="H32" i="1"/>
  <c r="G32" i="1"/>
  <c r="F30" i="1"/>
  <c r="E30" i="1"/>
  <c r="F29" i="1"/>
  <c r="E29" i="1"/>
  <c r="X55" i="11"/>
  <c r="X80" i="11"/>
  <c r="X79" i="11"/>
  <c r="X78" i="11"/>
  <c r="X77" i="11"/>
  <c r="X74" i="11"/>
  <c r="X73" i="11"/>
  <c r="X72" i="11"/>
  <c r="X71" i="11"/>
  <c r="X68" i="11"/>
  <c r="X67" i="11"/>
  <c r="X66" i="11"/>
  <c r="X65" i="11"/>
  <c r="X62" i="11"/>
  <c r="X61" i="11"/>
  <c r="X60" i="11"/>
  <c r="X59" i="11"/>
  <c r="X47" i="11"/>
  <c r="X56" i="11"/>
  <c r="X54" i="11"/>
  <c r="X53" i="11"/>
  <c r="X48" i="11"/>
  <c r="X46" i="11"/>
  <c r="X45" i="11"/>
  <c r="X41" i="11"/>
  <c r="X40" i="11"/>
  <c r="X39" i="11"/>
  <c r="X38" i="11"/>
  <c r="X26" i="11"/>
  <c r="X27" i="11"/>
  <c r="X28" i="11"/>
  <c r="X29" i="11"/>
  <c r="X36" i="11"/>
  <c r="X35" i="11"/>
  <c r="X34" i="11"/>
  <c r="X33" i="11"/>
  <c r="X21" i="11"/>
  <c r="X20" i="11"/>
  <c r="X19" i="11"/>
  <c r="X18" i="11"/>
  <c r="X16" i="11"/>
  <c r="X15" i="11"/>
  <c r="X14" i="11"/>
  <c r="X13" i="11"/>
  <c r="X11" i="11"/>
  <c r="X10" i="11"/>
  <c r="X9" i="11"/>
  <c r="X8" i="11"/>
  <c r="X6" i="11"/>
  <c r="X5" i="11"/>
  <c r="Z13" i="11" s="1"/>
  <c r="X4" i="11"/>
  <c r="X3" i="11"/>
  <c r="J27" i="1"/>
  <c r="K27" i="1" s="1"/>
  <c r="J26" i="1"/>
  <c r="K26" i="1"/>
  <c r="K25" i="1"/>
  <c r="K24" i="1"/>
  <c r="K23" i="1"/>
  <c r="D24" i="1"/>
  <c r="D25" i="1" s="1"/>
  <c r="D26" i="1"/>
  <c r="D27" i="1" s="1"/>
  <c r="C26" i="1"/>
  <c r="C27" i="1" s="1"/>
  <c r="AB253" i="1"/>
  <c r="AA253" i="9"/>
  <c r="AB260" i="1"/>
  <c r="AA260" i="9"/>
  <c r="AB293" i="1"/>
  <c r="AB288" i="1"/>
  <c r="AB278" i="1"/>
  <c r="AA278" i="9"/>
  <c r="C24" i="1"/>
  <c r="C25" i="1" s="1"/>
  <c r="D22" i="1"/>
  <c r="Y299" i="9"/>
  <c r="Y298" i="9"/>
  <c r="Y297" i="9"/>
  <c r="Y296" i="9"/>
  <c r="Y294" i="9"/>
  <c r="Y293" i="9"/>
  <c r="Y292" i="9"/>
  <c r="Y291" i="9"/>
  <c r="AA293" i="9" s="1"/>
  <c r="Y289" i="9"/>
  <c r="Y288" i="9"/>
  <c r="Y287" i="9"/>
  <c r="Y286" i="9"/>
  <c r="C22" i="1" s="1"/>
  <c r="C23" i="1" s="1"/>
  <c r="Y284" i="9"/>
  <c r="Y283" i="9"/>
  <c r="Y282" i="9"/>
  <c r="Y281" i="9"/>
  <c r="Y276" i="9"/>
  <c r="Y277" i="9"/>
  <c r="Y278" i="9"/>
  <c r="Y279" i="9"/>
  <c r="Y274" i="9"/>
  <c r="Y273" i="9"/>
  <c r="Y272" i="9"/>
  <c r="Y271" i="9"/>
  <c r="Y268" i="9"/>
  <c r="Y267" i="9"/>
  <c r="Y266" i="9"/>
  <c r="Y265" i="9"/>
  <c r="Y261" i="9"/>
  <c r="Y260" i="9"/>
  <c r="Y259" i="9"/>
  <c r="Y258" i="9"/>
  <c r="D17" i="1"/>
  <c r="C17" i="1"/>
  <c r="D16" i="1"/>
  <c r="C16" i="1"/>
  <c r="Y254" i="9"/>
  <c r="Y253" i="9"/>
  <c r="Y252" i="9"/>
  <c r="Y251" i="9"/>
  <c r="Y249" i="9"/>
  <c r="Y248" i="9"/>
  <c r="Y247" i="9"/>
  <c r="Y246" i="9"/>
  <c r="Y55" i="9"/>
  <c r="Y54" i="9"/>
  <c r="Y53" i="9"/>
  <c r="Y52" i="9"/>
  <c r="Y51" i="9"/>
  <c r="Y50" i="9"/>
  <c r="Y49" i="9"/>
  <c r="Y48" i="9"/>
  <c r="Y47" i="9"/>
  <c r="Y46" i="9"/>
  <c r="Y45" i="9"/>
  <c r="Y44" i="9"/>
  <c r="Y43" i="9"/>
  <c r="Y42" i="9"/>
  <c r="Y41" i="9"/>
  <c r="Y40" i="9"/>
  <c r="Y39" i="9"/>
  <c r="Y38" i="9"/>
  <c r="Y37" i="9"/>
  <c r="Y36" i="9"/>
  <c r="Y35" i="9"/>
  <c r="Y34" i="9"/>
  <c r="Y33" i="9"/>
  <c r="Y32" i="9"/>
  <c r="Y31" i="9"/>
  <c r="Y30" i="9"/>
  <c r="Y29" i="9"/>
  <c r="Y28" i="9"/>
  <c r="Y27" i="9"/>
  <c r="Y26" i="9"/>
  <c r="Y25" i="9"/>
  <c r="Y24" i="9"/>
  <c r="Y23" i="9"/>
  <c r="Y21" i="9"/>
  <c r="Y20" i="9"/>
  <c r="Y19" i="9"/>
  <c r="Y18" i="9"/>
  <c r="Y17" i="9"/>
  <c r="Y16" i="9"/>
  <c r="Y15" i="9"/>
  <c r="Y14" i="9"/>
  <c r="Y13" i="9"/>
  <c r="Y12" i="9"/>
  <c r="Y11" i="9"/>
  <c r="Y10" i="9"/>
  <c r="Y8" i="9"/>
  <c r="Y7" i="9"/>
  <c r="Y6" i="9"/>
  <c r="Y5" i="9"/>
  <c r="Y4" i="9"/>
  <c r="Y3" i="9"/>
  <c r="Y2" i="9"/>
  <c r="Y1" i="9"/>
  <c r="Y236" i="9"/>
  <c r="Y235" i="9"/>
  <c r="Y234" i="9"/>
  <c r="Y233" i="9"/>
  <c r="Y232" i="9"/>
  <c r="Y231" i="9"/>
  <c r="Y230" i="9"/>
  <c r="Y229" i="9"/>
  <c r="Y228" i="9"/>
  <c r="Y227" i="9"/>
  <c r="Y226" i="9"/>
  <c r="Y225" i="9"/>
  <c r="Y224" i="9"/>
  <c r="Y223" i="9"/>
  <c r="Y222" i="9"/>
  <c r="Y221" i="9"/>
  <c r="Y220" i="9"/>
  <c r="Y219" i="9"/>
  <c r="Y218" i="9"/>
  <c r="Y217" i="9"/>
  <c r="Y216" i="9"/>
  <c r="Y215" i="9"/>
  <c r="Y214" i="9"/>
  <c r="Y213" i="9"/>
  <c r="Y212" i="9"/>
  <c r="Y211" i="9"/>
  <c r="Y210" i="9"/>
  <c r="Y209" i="9"/>
  <c r="Y208" i="9"/>
  <c r="Y207" i="9"/>
  <c r="Y206" i="9"/>
  <c r="Y205" i="9"/>
  <c r="Y204" i="9"/>
  <c r="Y203" i="9"/>
  <c r="Y202" i="9"/>
  <c r="Y201" i="9"/>
  <c r="Y200" i="9"/>
  <c r="Y199" i="9"/>
  <c r="Y198" i="9"/>
  <c r="Y197" i="9"/>
  <c r="Y196" i="9"/>
  <c r="Y195" i="9"/>
  <c r="Y194" i="9"/>
  <c r="Y193" i="9"/>
  <c r="Y192" i="9"/>
  <c r="Y191" i="9"/>
  <c r="Y190" i="9"/>
  <c r="Y189" i="9"/>
  <c r="Y188" i="9"/>
  <c r="Y187" i="9"/>
  <c r="Y186" i="9"/>
  <c r="Y185" i="9"/>
  <c r="Y184" i="9"/>
  <c r="Y183" i="9"/>
  <c r="Y182" i="9"/>
  <c r="Y181" i="9"/>
  <c r="Y175" i="9"/>
  <c r="Y174" i="9"/>
  <c r="Y173" i="9"/>
  <c r="Y172" i="9"/>
  <c r="Y171" i="9"/>
  <c r="Y170" i="9"/>
  <c r="Y169" i="9"/>
  <c r="Y168" i="9"/>
  <c r="Y167" i="9"/>
  <c r="Y166" i="9"/>
  <c r="Y165" i="9"/>
  <c r="Y164" i="9"/>
  <c r="Y163" i="9"/>
  <c r="Y162" i="9"/>
  <c r="Y161" i="9"/>
  <c r="Y160" i="9"/>
  <c r="Y159" i="9"/>
  <c r="Y158" i="9"/>
  <c r="Y157" i="9"/>
  <c r="Y156" i="9"/>
  <c r="Y155" i="9"/>
  <c r="Y154" i="9"/>
  <c r="Y153" i="9"/>
  <c r="Y152" i="9"/>
  <c r="Y151" i="9"/>
  <c r="Y150" i="9"/>
  <c r="Y149" i="9"/>
  <c r="Y148" i="9"/>
  <c r="Y147" i="9"/>
  <c r="Y146" i="9"/>
  <c r="Y145" i="9"/>
  <c r="Y144" i="9"/>
  <c r="Y143" i="9"/>
  <c r="Y142" i="9"/>
  <c r="Y141" i="9"/>
  <c r="Y140" i="9"/>
  <c r="Y139" i="9"/>
  <c r="Y138" i="9"/>
  <c r="Y137" i="9"/>
  <c r="Y136" i="9"/>
  <c r="Y135" i="9"/>
  <c r="Y134" i="9"/>
  <c r="Y133" i="9"/>
  <c r="Y132" i="9"/>
  <c r="Y131" i="9"/>
  <c r="Y130" i="9"/>
  <c r="Y129" i="9"/>
  <c r="Y128" i="9"/>
  <c r="Y127" i="9"/>
  <c r="Y126" i="9"/>
  <c r="Y125" i="9"/>
  <c r="Y124" i="9"/>
  <c r="Y123" i="9"/>
  <c r="Y122" i="9"/>
  <c r="Y115" i="9"/>
  <c r="Y114" i="9"/>
  <c r="Y113" i="9"/>
  <c r="Y112" i="9"/>
  <c r="Y111" i="9"/>
  <c r="Y110" i="9"/>
  <c r="Y109" i="9"/>
  <c r="Y108" i="9"/>
  <c r="Y107" i="9"/>
  <c r="Y106" i="9"/>
  <c r="Y105" i="9"/>
  <c r="Y104" i="9"/>
  <c r="Y103" i="9"/>
  <c r="Y102" i="9"/>
  <c r="Y101" i="9"/>
  <c r="Y100" i="9"/>
  <c r="Y99" i="9"/>
  <c r="Y98" i="9"/>
  <c r="Y97" i="9"/>
  <c r="Y96" i="9"/>
  <c r="Y95" i="9"/>
  <c r="Y94" i="9"/>
  <c r="Y93" i="9"/>
  <c r="Y92" i="9"/>
  <c r="Y91" i="9"/>
  <c r="Y90" i="9"/>
  <c r="Y89" i="9"/>
  <c r="Y88" i="9"/>
  <c r="Y87" i="9"/>
  <c r="Y86" i="9"/>
  <c r="Y85" i="9"/>
  <c r="Y84" i="9"/>
  <c r="Y83" i="9"/>
  <c r="Y82" i="9"/>
  <c r="Y81" i="9"/>
  <c r="Y80" i="9"/>
  <c r="Y79" i="9"/>
  <c r="Y78" i="9"/>
  <c r="Y77" i="9"/>
  <c r="Y76" i="9"/>
  <c r="Y75" i="9"/>
  <c r="Y74" i="9"/>
  <c r="Y73" i="9"/>
  <c r="Y72" i="9"/>
  <c r="Y71" i="9"/>
  <c r="Y70" i="9"/>
  <c r="Y69" i="9"/>
  <c r="Y68" i="9"/>
  <c r="Y67" i="9"/>
  <c r="Y66" i="9"/>
  <c r="Y65" i="9"/>
  <c r="Y64" i="9"/>
  <c r="Y63" i="9"/>
  <c r="Y62" i="9"/>
  <c r="Y61" i="9"/>
  <c r="D13" i="1"/>
  <c r="C13" i="1"/>
  <c r="D12" i="1"/>
  <c r="C12" i="1"/>
  <c r="X141" i="8"/>
  <c r="X105" i="8"/>
  <c r="X68" i="8"/>
  <c r="X32" i="8"/>
  <c r="X140" i="8"/>
  <c r="X139" i="8"/>
  <c r="X138" i="8"/>
  <c r="X137" i="8"/>
  <c r="X136" i="8"/>
  <c r="X135" i="8"/>
  <c r="X134" i="8"/>
  <c r="X133" i="8"/>
  <c r="X132" i="8"/>
  <c r="X131" i="8"/>
  <c r="X130" i="8"/>
  <c r="X129" i="8"/>
  <c r="X128" i="8"/>
  <c r="X127" i="8"/>
  <c r="X126" i="8"/>
  <c r="X125" i="8"/>
  <c r="X124" i="8"/>
  <c r="X123" i="8"/>
  <c r="X122" i="8"/>
  <c r="X121" i="8"/>
  <c r="X120" i="8"/>
  <c r="X119" i="8"/>
  <c r="X118" i="8"/>
  <c r="X117" i="8"/>
  <c r="X116" i="8"/>
  <c r="X115" i="8"/>
  <c r="X114" i="8"/>
  <c r="X113" i="8"/>
  <c r="X112" i="8"/>
  <c r="X111" i="8"/>
  <c r="X110" i="8"/>
  <c r="X104" i="8"/>
  <c r="X103" i="8"/>
  <c r="X102" i="8"/>
  <c r="X101" i="8"/>
  <c r="X100" i="8"/>
  <c r="X99" i="8"/>
  <c r="X98" i="8"/>
  <c r="X97" i="8"/>
  <c r="X96" i="8"/>
  <c r="X95" i="8"/>
  <c r="X94" i="8"/>
  <c r="X93" i="8"/>
  <c r="X92" i="8"/>
  <c r="X91" i="8"/>
  <c r="X90" i="8"/>
  <c r="X89" i="8"/>
  <c r="X88" i="8"/>
  <c r="X87" i="8"/>
  <c r="X86" i="8"/>
  <c r="X85" i="8"/>
  <c r="X84" i="8"/>
  <c r="X83" i="8"/>
  <c r="X82" i="8"/>
  <c r="X81" i="8"/>
  <c r="X80" i="8"/>
  <c r="X79" i="8"/>
  <c r="X78" i="8"/>
  <c r="X77" i="8"/>
  <c r="X76" i="8"/>
  <c r="X75" i="8"/>
  <c r="X74" i="8"/>
  <c r="X67" i="8"/>
  <c r="X66" i="8"/>
  <c r="X65" i="8"/>
  <c r="X64" i="8"/>
  <c r="X63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X42" i="8"/>
  <c r="X41" i="8"/>
  <c r="X40" i="8"/>
  <c r="X39" i="8"/>
  <c r="X38" i="8"/>
  <c r="X37" i="8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1" i="8"/>
  <c r="L10" i="1"/>
  <c r="L11" i="1" s="1"/>
  <c r="L9" i="1"/>
  <c r="F8" i="1"/>
  <c r="F11" i="1" s="1"/>
  <c r="E8" i="1"/>
  <c r="E11" i="1" s="1"/>
  <c r="D8" i="1"/>
  <c r="D9" i="1"/>
  <c r="C9" i="1"/>
  <c r="C8" i="1"/>
  <c r="X36" i="7"/>
  <c r="D10" i="1" s="1"/>
  <c r="X76" i="7"/>
  <c r="C10" i="1"/>
  <c r="R9" i="1"/>
  <c r="D11" i="1"/>
  <c r="C11" i="1"/>
  <c r="X157" i="7"/>
  <c r="X117" i="7"/>
  <c r="X156" i="7"/>
  <c r="X155" i="7"/>
  <c r="X154" i="7"/>
  <c r="X153" i="7"/>
  <c r="X152" i="7"/>
  <c r="X151" i="7"/>
  <c r="X150" i="7"/>
  <c r="X149" i="7"/>
  <c r="X148" i="7"/>
  <c r="X147" i="7"/>
  <c r="X146" i="7"/>
  <c r="X145" i="7"/>
  <c r="X144" i="7"/>
  <c r="X143" i="7"/>
  <c r="X142" i="7"/>
  <c r="X141" i="7"/>
  <c r="X140" i="7"/>
  <c r="X139" i="7"/>
  <c r="X138" i="7"/>
  <c r="X137" i="7"/>
  <c r="X136" i="7"/>
  <c r="X135" i="7"/>
  <c r="X134" i="7"/>
  <c r="X133" i="7"/>
  <c r="X132" i="7"/>
  <c r="X131" i="7"/>
  <c r="X130" i="7"/>
  <c r="X129" i="7"/>
  <c r="X128" i="7"/>
  <c r="X127" i="7"/>
  <c r="X126" i="7"/>
  <c r="X125" i="7"/>
  <c r="X124" i="7"/>
  <c r="X123" i="7"/>
  <c r="X122" i="7"/>
  <c r="X116" i="7"/>
  <c r="X115" i="7"/>
  <c r="X114" i="7"/>
  <c r="X113" i="7"/>
  <c r="X112" i="7"/>
  <c r="X111" i="7"/>
  <c r="X110" i="7"/>
  <c r="X109" i="7"/>
  <c r="X108" i="7"/>
  <c r="X107" i="7"/>
  <c r="X106" i="7"/>
  <c r="X105" i="7"/>
  <c r="X104" i="7"/>
  <c r="X103" i="7"/>
  <c r="X102" i="7"/>
  <c r="X101" i="7"/>
  <c r="X100" i="7"/>
  <c r="X99" i="7"/>
  <c r="X98" i="7"/>
  <c r="X97" i="7"/>
  <c r="X96" i="7"/>
  <c r="X95" i="7"/>
  <c r="X94" i="7"/>
  <c r="X93" i="7"/>
  <c r="X92" i="7"/>
  <c r="X91" i="7"/>
  <c r="X90" i="7"/>
  <c r="X89" i="7"/>
  <c r="X88" i="7"/>
  <c r="X87" i="7"/>
  <c r="X86" i="7"/>
  <c r="X85" i="7"/>
  <c r="X84" i="7"/>
  <c r="X83" i="7"/>
  <c r="X82" i="7"/>
  <c r="X75" i="7"/>
  <c r="X74" i="7"/>
  <c r="X73" i="7"/>
  <c r="X72" i="7"/>
  <c r="X71" i="7"/>
  <c r="X70" i="7"/>
  <c r="X69" i="7"/>
  <c r="X68" i="7"/>
  <c r="X67" i="7"/>
  <c r="X66" i="7"/>
  <c r="X65" i="7"/>
  <c r="X64" i="7"/>
  <c r="X63" i="7"/>
  <c r="X62" i="7"/>
  <c r="X61" i="7"/>
  <c r="X60" i="7"/>
  <c r="X59" i="7"/>
  <c r="X58" i="7"/>
  <c r="X57" i="7"/>
  <c r="X56" i="7"/>
  <c r="X55" i="7"/>
  <c r="X54" i="7"/>
  <c r="X53" i="7"/>
  <c r="X52" i="7"/>
  <c r="X51" i="7"/>
  <c r="X50" i="7"/>
  <c r="X49" i="7"/>
  <c r="X48" i="7"/>
  <c r="X47" i="7"/>
  <c r="X46" i="7"/>
  <c r="X45" i="7"/>
  <c r="X44" i="7"/>
  <c r="X43" i="7"/>
  <c r="X42" i="7"/>
  <c r="X41" i="7"/>
  <c r="X35" i="7"/>
  <c r="X34" i="7"/>
  <c r="X33" i="7"/>
  <c r="X32" i="7"/>
  <c r="X31" i="7"/>
  <c r="X30" i="7"/>
  <c r="X29" i="7"/>
  <c r="X28" i="7"/>
  <c r="X27" i="7"/>
  <c r="X26" i="7"/>
  <c r="X25" i="7"/>
  <c r="X24" i="7"/>
  <c r="X23" i="7"/>
  <c r="X22" i="7"/>
  <c r="X21" i="7"/>
  <c r="X20" i="7"/>
  <c r="X19" i="7"/>
  <c r="X18" i="7"/>
  <c r="X17" i="7"/>
  <c r="X16" i="7"/>
  <c r="X15" i="7"/>
  <c r="X14" i="7"/>
  <c r="X13" i="7"/>
  <c r="X12" i="7"/>
  <c r="X11" i="7"/>
  <c r="X10" i="7"/>
  <c r="X9" i="7"/>
  <c r="X8" i="7"/>
  <c r="X7" i="7"/>
  <c r="X6" i="7"/>
  <c r="X5" i="7"/>
  <c r="X4" i="7"/>
  <c r="X3" i="7"/>
  <c r="X2" i="7"/>
  <c r="X1" i="7"/>
  <c r="U14" i="4"/>
  <c r="W45" i="4"/>
  <c r="V45" i="4"/>
  <c r="U45" i="4"/>
  <c r="W44" i="4"/>
  <c r="V44" i="4"/>
  <c r="U44" i="4"/>
  <c r="W43" i="4"/>
  <c r="V43" i="4"/>
  <c r="U43" i="4"/>
  <c r="W42" i="4"/>
  <c r="V42" i="4"/>
  <c r="U42" i="4"/>
  <c r="W41" i="4"/>
  <c r="V41" i="4"/>
  <c r="U41" i="4"/>
  <c r="W40" i="4"/>
  <c r="V40" i="4"/>
  <c r="U40" i="4"/>
  <c r="W39" i="4"/>
  <c r="V39" i="4"/>
  <c r="U39" i="4"/>
  <c r="W38" i="4"/>
  <c r="V38" i="4"/>
  <c r="U38" i="4"/>
  <c r="W37" i="4"/>
  <c r="V37" i="4"/>
  <c r="U37" i="4"/>
  <c r="W36" i="4"/>
  <c r="V36" i="4"/>
  <c r="U36" i="4"/>
  <c r="W35" i="4"/>
  <c r="V35" i="4"/>
  <c r="U35" i="4"/>
  <c r="W34" i="4"/>
  <c r="V34" i="4"/>
  <c r="U34" i="4"/>
  <c r="W33" i="4"/>
  <c r="V33" i="4"/>
  <c r="U33" i="4"/>
  <c r="W32" i="4"/>
  <c r="V32" i="4"/>
  <c r="U32" i="4"/>
  <c r="W31" i="4"/>
  <c r="V31" i="4"/>
  <c r="U31" i="4"/>
  <c r="W30" i="4"/>
  <c r="V30" i="4"/>
  <c r="U30" i="4"/>
  <c r="W29" i="4"/>
  <c r="V29" i="4"/>
  <c r="U29" i="4"/>
  <c r="W28" i="4"/>
  <c r="V28" i="4"/>
  <c r="U28" i="4"/>
  <c r="W27" i="4"/>
  <c r="V27" i="4"/>
  <c r="U27" i="4"/>
  <c r="W26" i="4"/>
  <c r="V26" i="4"/>
  <c r="U26" i="4"/>
  <c r="W22" i="4"/>
  <c r="V22" i="4"/>
  <c r="U22" i="4"/>
  <c r="W21" i="4"/>
  <c r="V21" i="4"/>
  <c r="U21" i="4"/>
  <c r="W20" i="4"/>
  <c r="V20" i="4"/>
  <c r="U20" i="4"/>
  <c r="W19" i="4"/>
  <c r="V19" i="4"/>
  <c r="U19" i="4"/>
  <c r="W18" i="4"/>
  <c r="V18" i="4"/>
  <c r="U18" i="4"/>
  <c r="W17" i="4"/>
  <c r="V17" i="4"/>
  <c r="U17" i="4"/>
  <c r="W16" i="4"/>
  <c r="V16" i="4"/>
  <c r="U16" i="4"/>
  <c r="W15" i="4"/>
  <c r="V15" i="4"/>
  <c r="U15" i="4"/>
  <c r="W14" i="4"/>
  <c r="V14" i="4"/>
  <c r="W13" i="4"/>
  <c r="V13" i="4"/>
  <c r="U13" i="4"/>
  <c r="W12" i="4"/>
  <c r="V12" i="4"/>
  <c r="U12" i="4"/>
  <c r="W11" i="4"/>
  <c r="V11" i="4"/>
  <c r="U11" i="4"/>
  <c r="W10" i="4"/>
  <c r="V10" i="4"/>
  <c r="U10" i="4"/>
  <c r="W9" i="4"/>
  <c r="V9" i="4"/>
  <c r="U9" i="4"/>
  <c r="W8" i="4"/>
  <c r="V8" i="4"/>
  <c r="U8" i="4"/>
  <c r="W7" i="4"/>
  <c r="V7" i="4"/>
  <c r="U7" i="4"/>
  <c r="W6" i="4"/>
  <c r="V6" i="4"/>
  <c r="U6" i="4"/>
  <c r="W5" i="4"/>
  <c r="V5" i="4"/>
  <c r="U5" i="4"/>
  <c r="W4" i="4"/>
  <c r="V4" i="4"/>
  <c r="U4" i="4"/>
  <c r="W3" i="4"/>
  <c r="V3" i="4"/>
  <c r="U3" i="4"/>
  <c r="W46" i="3"/>
  <c r="V46" i="3"/>
  <c r="U46" i="3"/>
  <c r="W23" i="3"/>
  <c r="V23" i="3"/>
  <c r="U23" i="3"/>
  <c r="W45" i="3"/>
  <c r="V45" i="3"/>
  <c r="U45" i="3"/>
  <c r="W44" i="3"/>
  <c r="V44" i="3"/>
  <c r="U44" i="3"/>
  <c r="W20" i="3"/>
  <c r="V20" i="3"/>
  <c r="U20" i="3"/>
  <c r="W19" i="3"/>
  <c r="V19" i="3"/>
  <c r="U19" i="3"/>
  <c r="U44" i="2"/>
  <c r="V44" i="2"/>
  <c r="W44" i="2"/>
  <c r="U45" i="2"/>
  <c r="V45" i="2"/>
  <c r="W45" i="2"/>
  <c r="Z4" i="2"/>
  <c r="Y5" i="2" s="1"/>
  <c r="Y6" i="2" s="1"/>
  <c r="Y7" i="2" s="1"/>
  <c r="Y8" i="2" s="1"/>
  <c r="Y9" i="2" s="1"/>
  <c r="Y10" i="2" s="1"/>
  <c r="Y11" i="2" s="1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X22" i="2" s="1"/>
  <c r="U21" i="2"/>
  <c r="V21" i="2"/>
  <c r="W21" i="2"/>
  <c r="U22" i="2"/>
  <c r="V22" i="2"/>
  <c r="W22" i="2"/>
  <c r="U3" i="2"/>
  <c r="U23" i="2" s="1"/>
  <c r="W43" i="3"/>
  <c r="V43" i="3"/>
  <c r="W42" i="3"/>
  <c r="V42" i="3"/>
  <c r="W41" i="3"/>
  <c r="V41" i="3"/>
  <c r="W40" i="3"/>
  <c r="V40" i="3"/>
  <c r="W39" i="3"/>
  <c r="V39" i="3"/>
  <c r="W38" i="3"/>
  <c r="V38" i="3"/>
  <c r="W37" i="3"/>
  <c r="V37" i="3"/>
  <c r="W36" i="3"/>
  <c r="V36" i="3"/>
  <c r="W35" i="3"/>
  <c r="V35" i="3"/>
  <c r="W34" i="3"/>
  <c r="V34" i="3"/>
  <c r="W33" i="3"/>
  <c r="V33" i="3"/>
  <c r="W32" i="3"/>
  <c r="V32" i="3"/>
  <c r="W31" i="3"/>
  <c r="V31" i="3"/>
  <c r="W30" i="3"/>
  <c r="V30" i="3"/>
  <c r="W29" i="3"/>
  <c r="V29" i="3"/>
  <c r="W28" i="3"/>
  <c r="V28" i="3"/>
  <c r="W27" i="3"/>
  <c r="V27" i="3"/>
  <c r="W26" i="3"/>
  <c r="V26" i="3"/>
  <c r="W22" i="3"/>
  <c r="V22" i="3"/>
  <c r="W21" i="3"/>
  <c r="V21" i="3"/>
  <c r="W18" i="3"/>
  <c r="V18" i="3"/>
  <c r="W17" i="3"/>
  <c r="V17" i="3"/>
  <c r="W16" i="3"/>
  <c r="V16" i="3"/>
  <c r="W15" i="3"/>
  <c r="V15" i="3"/>
  <c r="W14" i="3"/>
  <c r="V14" i="3"/>
  <c r="W13" i="3"/>
  <c r="V13" i="3"/>
  <c r="W12" i="3"/>
  <c r="V12" i="3"/>
  <c r="W11" i="3"/>
  <c r="V11" i="3"/>
  <c r="W10" i="3"/>
  <c r="V10" i="3"/>
  <c r="W9" i="3"/>
  <c r="V9" i="3"/>
  <c r="W8" i="3"/>
  <c r="V8" i="3"/>
  <c r="W7" i="3"/>
  <c r="V7" i="3"/>
  <c r="W6" i="3"/>
  <c r="V6" i="3"/>
  <c r="W5" i="3"/>
  <c r="V5" i="3"/>
  <c r="W4" i="3"/>
  <c r="V4" i="3"/>
  <c r="W3" i="3"/>
  <c r="V3" i="3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46" i="2" s="1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46" i="2" s="1"/>
  <c r="W3" i="2"/>
  <c r="W23" i="2" s="1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3" i="2"/>
  <c r="V23" i="2" s="1"/>
  <c r="U17" i="2"/>
  <c r="U18" i="2"/>
  <c r="U19" i="2"/>
  <c r="U20" i="2"/>
  <c r="U39" i="2"/>
  <c r="U40" i="2"/>
  <c r="U41" i="2"/>
  <c r="U42" i="2"/>
  <c r="U43" i="2"/>
  <c r="U22" i="3"/>
  <c r="U21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U5" i="3"/>
  <c r="U4" i="3"/>
  <c r="U3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U26" i="3"/>
  <c r="U16" i="2"/>
  <c r="U15" i="2"/>
  <c r="U14" i="2"/>
  <c r="U13" i="2"/>
  <c r="U12" i="2"/>
  <c r="U11" i="2"/>
  <c r="U10" i="2"/>
  <c r="U9" i="2"/>
  <c r="U8" i="2"/>
  <c r="U7" i="2"/>
  <c r="U6" i="2"/>
  <c r="U5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46" i="2" s="1"/>
  <c r="U4" i="2"/>
  <c r="O7" i="13" l="1"/>
  <c r="R7" i="13" s="1"/>
  <c r="P7" i="13"/>
  <c r="S7" i="13" s="1"/>
  <c r="O6" i="13"/>
  <c r="R6" i="13" s="1"/>
  <c r="O5" i="13"/>
  <c r="R5" i="13" s="1"/>
  <c r="P5" i="13"/>
  <c r="S5" i="13" s="1"/>
  <c r="O9" i="12"/>
  <c r="R9" i="12" s="1"/>
  <c r="P9" i="12"/>
  <c r="S9" i="12" s="1"/>
  <c r="P10" i="12"/>
  <c r="S10" i="12" s="1"/>
  <c r="O10" i="12"/>
  <c r="R10" i="12" s="1"/>
  <c r="Q32" i="1"/>
  <c r="T32" i="1" s="1"/>
  <c r="P32" i="1"/>
  <c r="S32" i="1" s="1"/>
  <c r="G33" i="1"/>
  <c r="H33" i="1"/>
  <c r="K33" i="1"/>
  <c r="Z11" i="11"/>
  <c r="Z12" i="11"/>
  <c r="D29" i="1" s="1"/>
  <c r="H29" i="1" s="1"/>
  <c r="Z14" i="11"/>
  <c r="Z273" i="9"/>
  <c r="Z267" i="9"/>
  <c r="Y237" i="9"/>
  <c r="C15" i="1" s="1"/>
  <c r="Y176" i="9"/>
  <c r="D15" i="1" s="1"/>
  <c r="Y116" i="9"/>
  <c r="C14" i="1" s="1"/>
  <c r="L12" i="1"/>
  <c r="E10" i="1"/>
  <c r="F10" i="1"/>
  <c r="H10" i="1" s="1"/>
  <c r="G10" i="1"/>
  <c r="H11" i="1"/>
  <c r="G8" i="1"/>
  <c r="H8" i="1"/>
  <c r="E9" i="1"/>
  <c r="G9" i="1" s="1"/>
  <c r="F9" i="1"/>
  <c r="H9" i="1" s="1"/>
  <c r="W46" i="4"/>
  <c r="U46" i="4"/>
  <c r="V46" i="4"/>
  <c r="W23" i="4"/>
  <c r="V23" i="4"/>
  <c r="U23" i="4"/>
  <c r="Y4" i="4"/>
  <c r="Y5" i="4"/>
  <c r="Y6" i="4" s="1"/>
  <c r="Y7" i="4" s="1"/>
  <c r="Y8" i="4" s="1"/>
  <c r="Y9" i="4" s="1"/>
  <c r="Y10" i="4" s="1"/>
  <c r="Y11" i="4" s="1"/>
  <c r="Y12" i="4" s="1"/>
  <c r="Y13" i="4" s="1"/>
  <c r="Y14" i="4" s="1"/>
  <c r="Y15" i="4" s="1"/>
  <c r="Y16" i="4" s="1"/>
  <c r="Y17" i="4" s="1"/>
  <c r="Y18" i="4" s="1"/>
  <c r="Y19" i="4" s="1"/>
  <c r="Y20" i="4" s="1"/>
  <c r="Y21" i="4" s="1"/>
  <c r="Y22" i="4" s="1"/>
  <c r="X22" i="4" s="1"/>
  <c r="Q33" i="1" l="1"/>
  <c r="T33" i="1" s="1"/>
  <c r="P33" i="1"/>
  <c r="S33" i="1" s="1"/>
  <c r="J29" i="1"/>
  <c r="C29" i="1"/>
  <c r="D30" i="1"/>
  <c r="H30" i="1" s="1"/>
  <c r="V9" i="9"/>
  <c r="J22" i="1"/>
  <c r="K22" i="1" s="1"/>
  <c r="Q10" i="1"/>
  <c r="T10" i="1" s="1"/>
  <c r="F13" i="1"/>
  <c r="H13" i="1" s="1"/>
  <c r="F12" i="1"/>
  <c r="E13" i="1"/>
  <c r="G13" i="1" s="1"/>
  <c r="E12" i="1"/>
  <c r="L13" i="1"/>
  <c r="L14" i="1"/>
  <c r="L16" i="1" s="1"/>
  <c r="G11" i="1"/>
  <c r="Y9" i="9" l="1"/>
  <c r="K22" i="9"/>
  <c r="Y22" i="9" s="1"/>
  <c r="G29" i="1"/>
  <c r="C30" i="1"/>
  <c r="G30" i="1" s="1"/>
  <c r="K29" i="1"/>
  <c r="J30" i="1"/>
  <c r="K30" i="1" s="1"/>
  <c r="L17" i="1"/>
  <c r="L20" i="1"/>
  <c r="L21" i="1" s="1"/>
  <c r="C21" i="1"/>
  <c r="X9" i="1"/>
  <c r="P8" i="1"/>
  <c r="S8" i="1" s="1"/>
  <c r="Q11" i="1"/>
  <c r="T11" i="1" s="1"/>
  <c r="P10" i="1"/>
  <c r="S10" i="1" s="1"/>
  <c r="Q8" i="1"/>
  <c r="T8" i="1" s="1"/>
  <c r="Q9" i="1"/>
  <c r="T9" i="1" s="1"/>
  <c r="P9" i="1"/>
  <c r="S9" i="1" s="1"/>
  <c r="L15" i="1"/>
  <c r="L18" i="1"/>
  <c r="L19" i="1" s="1"/>
  <c r="E14" i="1"/>
  <c r="E15" i="1"/>
  <c r="G15" i="1" s="1"/>
  <c r="G12" i="1"/>
  <c r="F14" i="1"/>
  <c r="F15" i="1"/>
  <c r="H15" i="1" s="1"/>
  <c r="H12" i="1"/>
  <c r="P11" i="1"/>
  <c r="S11" i="1" s="1"/>
  <c r="Y56" i="9" l="1"/>
  <c r="D14" i="1" s="1"/>
  <c r="H14" i="1" s="1"/>
  <c r="P14" i="1" s="1"/>
  <c r="P30" i="1"/>
  <c r="S30" i="1" s="1"/>
  <c r="Q30" i="1"/>
  <c r="T30" i="1" s="1"/>
  <c r="Q29" i="1"/>
  <c r="T29" i="1" s="1"/>
  <c r="P29" i="1"/>
  <c r="S29" i="1" s="1"/>
  <c r="E16" i="1"/>
  <c r="E17" i="1"/>
  <c r="G17" i="1" s="1"/>
  <c r="F17" i="1"/>
  <c r="H17" i="1" s="1"/>
  <c r="F16" i="1"/>
  <c r="E18" i="1"/>
  <c r="E19" i="1"/>
  <c r="G19" i="1" s="1"/>
  <c r="G14" i="1"/>
  <c r="F18" i="1"/>
  <c r="F19" i="1"/>
  <c r="H19" i="1" s="1"/>
  <c r="Q12" i="1"/>
  <c r="T12" i="1" s="1"/>
  <c r="P12" i="1"/>
  <c r="S12" i="1" s="1"/>
  <c r="H18" i="1" l="1"/>
  <c r="F23" i="1"/>
  <c r="H23" i="1" s="1"/>
  <c r="F22" i="1"/>
  <c r="G18" i="1"/>
  <c r="E22" i="1"/>
  <c r="E23" i="1"/>
  <c r="F20" i="1"/>
  <c r="F21" i="1"/>
  <c r="H21" i="1" s="1"/>
  <c r="H16" i="1"/>
  <c r="E21" i="1"/>
  <c r="E20" i="1"/>
  <c r="G16" i="1"/>
  <c r="Q14" i="1"/>
  <c r="T14" i="1" s="1"/>
  <c r="S14" i="1"/>
  <c r="P13" i="1"/>
  <c r="S13" i="1" s="1"/>
  <c r="Q13" i="1"/>
  <c r="T13" i="1" s="1"/>
  <c r="G20" i="1" l="1"/>
  <c r="E25" i="1"/>
  <c r="E24" i="1"/>
  <c r="G21" i="1"/>
  <c r="P21" i="1" s="1"/>
  <c r="S21" i="1" s="1"/>
  <c r="F25" i="1"/>
  <c r="H25" i="1" s="1"/>
  <c r="F24" i="1"/>
  <c r="H24" i="1" s="1"/>
  <c r="H20" i="1"/>
  <c r="Q20" i="1" s="1"/>
  <c r="T20" i="1" s="1"/>
  <c r="G23" i="1"/>
  <c r="Q23" i="1" s="1"/>
  <c r="T23" i="1" s="1"/>
  <c r="E26" i="1"/>
  <c r="E27" i="1"/>
  <c r="G22" i="1"/>
  <c r="H22" i="1"/>
  <c r="P22" i="1" s="1"/>
  <c r="S22" i="1" s="1"/>
  <c r="F27" i="1"/>
  <c r="H27" i="1" s="1"/>
  <c r="F26" i="1"/>
  <c r="H26" i="1" s="1"/>
  <c r="Q15" i="1"/>
  <c r="T15" i="1" s="1"/>
  <c r="P15" i="1"/>
  <c r="S15" i="1" s="1"/>
  <c r="Q21" i="1" l="1"/>
  <c r="T21" i="1" s="1"/>
  <c r="Q22" i="1"/>
  <c r="T22" i="1" s="1"/>
  <c r="P20" i="1"/>
  <c r="S20" i="1" s="1"/>
  <c r="G27" i="1"/>
  <c r="Q27" i="1"/>
  <c r="T27" i="1" s="1"/>
  <c r="P27" i="1"/>
  <c r="S27" i="1" s="1"/>
  <c r="G26" i="1"/>
  <c r="Q26" i="1" s="1"/>
  <c r="T26" i="1" s="1"/>
  <c r="P26" i="1"/>
  <c r="S26" i="1" s="1"/>
  <c r="G24" i="1"/>
  <c r="P24" i="1"/>
  <c r="S24" i="1" s="1"/>
  <c r="Q24" i="1"/>
  <c r="T24" i="1" s="1"/>
  <c r="P23" i="1"/>
  <c r="S23" i="1" s="1"/>
  <c r="G25" i="1"/>
  <c r="P25" i="1"/>
  <c r="S25" i="1" s="1"/>
  <c r="Q25" i="1"/>
  <c r="T25" i="1" s="1"/>
  <c r="Q18" i="1"/>
  <c r="T18" i="1" s="1"/>
  <c r="P18" i="1"/>
  <c r="S18" i="1" s="1"/>
  <c r="Q16" i="1"/>
  <c r="T16" i="1" s="1"/>
  <c r="P16" i="1"/>
  <c r="S16" i="1" s="1"/>
  <c r="Q19" i="1"/>
  <c r="T19" i="1" s="1"/>
  <c r="P19" i="1"/>
  <c r="S19" i="1" s="1"/>
  <c r="Q17" i="1" l="1"/>
  <c r="T17" i="1" s="1"/>
  <c r="P17" i="1"/>
  <c r="S17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73CE67-661D-4E92-A146-C1F7D3304ACA}" keepAlive="1" name="Consulta - WE_AE_Total" description="Conexión a la consulta 'WE_AE_Total' en el libro." type="5" refreshedVersion="0" background="1">
    <dbPr connection="Provider=Microsoft.Mashup.OleDb.1;Data Source=$Workbook$;Location=WE_AE_Total;Extended Properties=&quot;&quot;" command="SELECT * FROM [WE_AE_Total]"/>
  </connection>
</connections>
</file>

<file path=xl/sharedStrings.xml><?xml version="1.0" encoding="utf-8"?>
<sst xmlns="http://schemas.openxmlformats.org/spreadsheetml/2006/main" count="1023" uniqueCount="105">
  <si>
    <r>
      <t>WE</t>
    </r>
    <r>
      <rPr>
        <vertAlign val="subscript"/>
        <sz val="11"/>
        <color theme="1"/>
        <rFont val="Calibri"/>
        <family val="2"/>
        <scheme val="minor"/>
      </rPr>
      <t>e</t>
    </r>
  </si>
  <si>
    <r>
      <t>AE</t>
    </r>
    <r>
      <rPr>
        <vertAlign val="subscript"/>
        <sz val="11"/>
        <color theme="1"/>
        <rFont val="Calibri"/>
        <family val="2"/>
        <scheme val="minor"/>
      </rPr>
      <t>e</t>
    </r>
  </si>
  <si>
    <r>
      <t>WE</t>
    </r>
    <r>
      <rPr>
        <vertAlign val="subscript"/>
        <sz val="11"/>
        <color theme="1"/>
        <rFont val="Calibri"/>
        <family val="2"/>
        <scheme val="minor"/>
      </rPr>
      <t>T</t>
    </r>
  </si>
  <si>
    <r>
      <t>AE</t>
    </r>
    <r>
      <rPr>
        <vertAlign val="subscript"/>
        <sz val="11"/>
        <color theme="1"/>
        <rFont val="Calibri"/>
        <family val="2"/>
        <scheme val="minor"/>
      </rPr>
      <t>T</t>
    </r>
  </si>
  <si>
    <r>
      <t>WE</t>
    </r>
    <r>
      <rPr>
        <vertAlign val="subscript"/>
        <sz val="11"/>
        <color theme="1"/>
        <rFont val="Calibri"/>
        <family val="2"/>
        <scheme val="minor"/>
      </rPr>
      <t>0</t>
    </r>
  </si>
  <si>
    <r>
      <t>AE</t>
    </r>
    <r>
      <rPr>
        <vertAlign val="subscript"/>
        <sz val="11"/>
        <color theme="1"/>
        <rFont val="Calibri"/>
        <family val="2"/>
        <scheme val="minor"/>
      </rPr>
      <t>0</t>
    </r>
  </si>
  <si>
    <t>Sin Flujo de Aire</t>
  </si>
  <si>
    <t>SIN FLUJO DE AIRE</t>
  </si>
  <si>
    <t>CON FLUJO DE AIRE</t>
  </si>
  <si>
    <t>Media</t>
  </si>
  <si>
    <t>Varianza</t>
  </si>
  <si>
    <t>Desviación Tipica</t>
  </si>
  <si>
    <t>WEu = uncorrected raw WE output</t>
  </si>
  <si>
    <t>AEu = uncorrected raw AE output</t>
  </si>
  <si>
    <t>WEc = corrected WE output</t>
  </si>
  <si>
    <t>WEe = WE electronic offset on the AFE or ISB</t>
  </si>
  <si>
    <t>AEe = AE electronic offset on the AFE or ISB</t>
  </si>
  <si>
    <t>WEo = WE sensor zero, i.e. the sensor WE output in zero air</t>
  </si>
  <si>
    <t>AEo = AE sensor zero, i.e. the sensor AE output in zero air</t>
  </si>
  <si>
    <t>WET = Total WE zero offset</t>
  </si>
  <si>
    <t>AET = Total AE zero offset</t>
  </si>
  <si>
    <t>Con Flujo de Aire</t>
  </si>
  <si>
    <t>Correciòn por Temperatura</t>
  </si>
  <si>
    <r>
      <t>WE</t>
    </r>
    <r>
      <rPr>
        <b/>
        <vertAlign val="subscript"/>
        <sz val="11"/>
        <color theme="1"/>
        <rFont val="Calibri"/>
        <family val="2"/>
        <scheme val="minor"/>
      </rPr>
      <t>C</t>
    </r>
    <r>
      <rPr>
        <b/>
        <sz val="11"/>
        <color theme="1"/>
        <rFont val="Calibri"/>
        <family val="2"/>
        <scheme val="minor"/>
      </rPr>
      <t xml:space="preserve"> </t>
    </r>
    <r>
      <rPr>
        <vertAlign val="subscript"/>
        <sz val="11"/>
        <color theme="1"/>
        <rFont val="Calibri"/>
        <family val="2"/>
        <scheme val="minor"/>
      </rPr>
      <t>(algoritmo 2)</t>
    </r>
  </si>
  <si>
    <r>
      <t>WE</t>
    </r>
    <r>
      <rPr>
        <b/>
        <vertAlign val="subscript"/>
        <sz val="11"/>
        <color theme="1"/>
        <rFont val="Calibri"/>
        <family val="2"/>
        <scheme val="minor"/>
      </rPr>
      <t>C</t>
    </r>
    <r>
      <rPr>
        <b/>
        <sz val="11"/>
        <color theme="1"/>
        <rFont val="Calibri"/>
        <family val="2"/>
        <scheme val="minor"/>
      </rPr>
      <t xml:space="preserve"> </t>
    </r>
    <r>
      <rPr>
        <vertAlign val="subscript"/>
        <sz val="11"/>
        <color theme="1"/>
        <rFont val="Calibri"/>
        <family val="2"/>
        <scheme val="minor"/>
      </rPr>
      <t>(algoritmo 3)</t>
    </r>
  </si>
  <si>
    <t>T</t>
  </si>
  <si>
    <r>
      <t>WE</t>
    </r>
    <r>
      <rPr>
        <i/>
        <vertAlign val="subscript"/>
        <sz val="11"/>
        <color theme="1"/>
        <rFont val="Calibri"/>
        <family val="2"/>
        <scheme val="minor"/>
      </rPr>
      <t>u</t>
    </r>
  </si>
  <si>
    <r>
      <t>AE</t>
    </r>
    <r>
      <rPr>
        <i/>
        <vertAlign val="subscript"/>
        <sz val="11"/>
        <color theme="1"/>
        <rFont val="Calibri"/>
        <family val="2"/>
        <scheme val="minor"/>
      </rPr>
      <t>u</t>
    </r>
  </si>
  <si>
    <r>
      <t>K'</t>
    </r>
    <r>
      <rPr>
        <i/>
        <vertAlign val="subscript"/>
        <sz val="11"/>
        <color theme="1"/>
        <rFont val="Calibri"/>
        <family val="2"/>
        <scheme val="minor"/>
      </rPr>
      <t>T</t>
    </r>
  </si>
  <si>
    <r>
      <t>K</t>
    </r>
    <r>
      <rPr>
        <i/>
        <vertAlign val="subscript"/>
        <sz val="11"/>
        <color theme="1"/>
        <rFont val="Calibri"/>
        <family val="2"/>
        <scheme val="minor"/>
      </rPr>
      <t>T</t>
    </r>
  </si>
  <si>
    <t>Algoritmo 2</t>
  </si>
  <si>
    <t>Algoritmo 3</t>
  </si>
  <si>
    <t>Sensibilidad ISB</t>
  </si>
  <si>
    <r>
      <t>PPB</t>
    </r>
    <r>
      <rPr>
        <i/>
        <vertAlign val="subscript"/>
        <sz val="11"/>
        <color theme="1"/>
        <rFont val="Calibri"/>
        <family val="2"/>
        <scheme val="minor"/>
      </rPr>
      <t>(algoritmo 3)</t>
    </r>
    <r>
      <rPr>
        <i/>
        <sz val="11"/>
        <color theme="1"/>
        <rFont val="Calibri"/>
        <family val="2"/>
        <scheme val="minor"/>
      </rPr>
      <t xml:space="preserve"> </t>
    </r>
  </si>
  <si>
    <r>
      <t>PPB</t>
    </r>
    <r>
      <rPr>
        <i/>
        <vertAlign val="subscript"/>
        <sz val="11"/>
        <color theme="1"/>
        <rFont val="Calibri"/>
        <family val="2"/>
        <scheme val="minor"/>
      </rPr>
      <t>(algoritmo 2)</t>
    </r>
    <r>
      <rPr>
        <i/>
        <sz val="11"/>
        <color theme="1"/>
        <rFont val="Calibri"/>
        <family val="2"/>
        <scheme val="minor"/>
      </rPr>
      <t xml:space="preserve"> </t>
    </r>
  </si>
  <si>
    <t>Weu'</t>
  </si>
  <si>
    <r>
      <t>k</t>
    </r>
    <r>
      <rPr>
        <vertAlign val="subscript"/>
        <sz val="11"/>
        <color theme="1"/>
        <rFont val="Calibri"/>
        <family val="2"/>
        <scheme val="minor"/>
      </rPr>
      <t>H</t>
    </r>
  </si>
  <si>
    <t xml:space="preserve">Correcciòn Humedad </t>
  </si>
  <si>
    <t xml:space="preserve">  20</t>
  </si>
  <si>
    <t>0</t>
  </si>
  <si>
    <t>WE</t>
  </si>
  <si>
    <t>AE</t>
  </si>
  <si>
    <t>1</t>
  </si>
  <si>
    <t xml:space="preserve">  40</t>
  </si>
  <si>
    <t xml:space="preserve">  60</t>
  </si>
  <si>
    <t xml:space="preserve">  80</t>
  </si>
  <si>
    <t xml:space="preserve"> 100</t>
  </si>
  <si>
    <t xml:space="preserve"> 120</t>
  </si>
  <si>
    <t xml:space="preserve"> 140</t>
  </si>
  <si>
    <t xml:space="preserve"> 160</t>
  </si>
  <si>
    <t xml:space="preserve"> 180</t>
  </si>
  <si>
    <t xml:space="preserve"> 200</t>
  </si>
  <si>
    <t xml:space="preserve"> 220</t>
  </si>
  <si>
    <t xml:space="preserve"> 240</t>
  </si>
  <si>
    <t xml:space="preserve"> 260</t>
  </si>
  <si>
    <t xml:space="preserve"> 280</t>
  </si>
  <si>
    <t xml:space="preserve"> 300</t>
  </si>
  <si>
    <t xml:space="preserve"> 320</t>
  </si>
  <si>
    <t xml:space="preserve"> 340</t>
  </si>
  <si>
    <t xml:space="preserve"> 360</t>
  </si>
  <si>
    <t xml:space="preserve"> 380</t>
  </si>
  <si>
    <t xml:space="preserve"> 400</t>
  </si>
  <si>
    <t xml:space="preserve"> 420</t>
  </si>
  <si>
    <t xml:space="preserve"> 440</t>
  </si>
  <si>
    <t xml:space="preserve"> 460</t>
  </si>
  <si>
    <t xml:space="preserve"> 480</t>
  </si>
  <si>
    <t xml:space="preserve"> 500</t>
  </si>
  <si>
    <t xml:space="preserve"> 520</t>
  </si>
  <si>
    <t xml:space="preserve"> 540</t>
  </si>
  <si>
    <t xml:space="preserve"> 560</t>
  </si>
  <si>
    <t xml:space="preserve"> 580</t>
  </si>
  <si>
    <t xml:space="preserve"> 600</t>
  </si>
  <si>
    <t xml:space="preserve"> 620</t>
  </si>
  <si>
    <t xml:space="preserve"> 640</t>
  </si>
  <si>
    <t xml:space="preserve"> 660</t>
  </si>
  <si>
    <t xml:space="preserve"> 680</t>
  </si>
  <si>
    <t xml:space="preserve"> 700</t>
  </si>
  <si>
    <t>T / °C</t>
  </si>
  <si>
    <t>NO-B4</t>
  </si>
  <si>
    <t>Algorithm</t>
  </si>
  <si>
    <t>Factor</t>
  </si>
  <si>
    <t>nT</t>
  </si>
  <si>
    <t>kT</t>
  </si>
  <si>
    <t>k'T</t>
  </si>
  <si>
    <t>k''T</t>
  </si>
  <si>
    <t>Con Flujo de Aire y H100%</t>
  </si>
  <si>
    <t>Nebulizador</t>
  </si>
  <si>
    <t>Exhalación</t>
  </si>
  <si>
    <t>0,43 mv/ppb</t>
  </si>
  <si>
    <t>ENSAYO - temp 25°C - humedad ambiente 64%</t>
  </si>
  <si>
    <t>ENSAYO - temp 25°C - humedad absotuta estimada 100% (nebulizador)</t>
  </si>
  <si>
    <t>15 min de ventilación por condensación de humedad</t>
  </si>
  <si>
    <t xml:space="preserve">2 min ventilación entre mediciones </t>
  </si>
  <si>
    <t>mucha condensación</t>
  </si>
  <si>
    <t>ENSAYO - temp 25°C - humedad absotuta estimada 100% (exhalación)</t>
  </si>
  <si>
    <t>prueba 1</t>
  </si>
  <si>
    <t>prueba 2</t>
  </si>
  <si>
    <t>mediodnes de 45 seg</t>
  </si>
  <si>
    <t>prueba 1*</t>
  </si>
  <si>
    <t>prueba 2*</t>
  </si>
  <si>
    <t>* mediciones de 45 seg</t>
  </si>
  <si>
    <t xml:space="preserve"> </t>
  </si>
  <si>
    <t>Datos del sensor al aire</t>
  </si>
  <si>
    <t>Datos del sensor exhalación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</si>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</sst>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2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i/>
      <sz val="11"/>
      <color theme="4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A2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909EE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143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0" xfId="0" applyFont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20" fontId="0" fillId="0" borderId="0" xfId="0" applyNumberFormat="1"/>
    <xf numFmtId="0" fontId="0" fillId="0" borderId="0" xfId="0" applyAlignment="1">
      <alignment horizontal="left" vertical="center"/>
    </xf>
    <xf numFmtId="0" fontId="7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0" fillId="8" borderId="1" xfId="0" applyFill="1" applyBorder="1"/>
    <xf numFmtId="0" fontId="0" fillId="0" borderId="4" xfId="0" applyBorder="1"/>
    <xf numFmtId="0" fontId="0" fillId="0" borderId="5" xfId="0" applyBorder="1"/>
    <xf numFmtId="0" fontId="8" fillId="5" borderId="5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0" fontId="5" fillId="8" borderId="6" xfId="0" applyFont="1" applyFill="1" applyBorder="1" applyAlignment="1">
      <alignment horizontal="center"/>
    </xf>
    <xf numFmtId="4" fontId="0" fillId="0" borderId="0" xfId="0" applyNumberFormat="1"/>
    <xf numFmtId="165" fontId="0" fillId="9" borderId="1" xfId="0" applyNumberFormat="1" applyFill="1" applyBorder="1" applyAlignment="1">
      <alignment horizontal="center" vertical="center"/>
    </xf>
    <xf numFmtId="165" fontId="0" fillId="9" borderId="4" xfId="0" applyNumberFormat="1" applyFill="1" applyBorder="1" applyAlignment="1">
      <alignment horizontal="center" vertical="center"/>
    </xf>
    <xf numFmtId="165" fontId="0" fillId="9" borderId="5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5" fontId="0" fillId="7" borderId="4" xfId="0" applyNumberFormat="1" applyFill="1" applyBorder="1" applyAlignment="1">
      <alignment horizontal="center" vertical="center"/>
    </xf>
    <xf numFmtId="165" fontId="0" fillId="7" borderId="5" xfId="0" applyNumberFormat="1" applyFill="1" applyBorder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8" fillId="10" borderId="1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165" fontId="8" fillId="5" borderId="4" xfId="0" applyNumberFormat="1" applyFon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/>
    </xf>
    <xf numFmtId="0" fontId="0" fillId="11" borderId="0" xfId="0" applyFill="1"/>
    <xf numFmtId="4" fontId="0" fillId="11" borderId="0" xfId="0" applyNumberFormat="1" applyFill="1"/>
    <xf numFmtId="0" fontId="0" fillId="0" borderId="7" xfId="0" applyBorder="1"/>
    <xf numFmtId="4" fontId="0" fillId="0" borderId="7" xfId="0" applyNumberFormat="1" applyBorder="1"/>
    <xf numFmtId="0" fontId="0" fillId="12" borderId="0" xfId="0" applyFill="1"/>
    <xf numFmtId="4" fontId="0" fillId="12" borderId="0" xfId="0" applyNumberFormat="1" applyFill="1"/>
    <xf numFmtId="9" fontId="0" fillId="0" borderId="0" xfId="1" applyFont="1"/>
    <xf numFmtId="9" fontId="0" fillId="0" borderId="0" xfId="1" applyFont="1" applyAlignment="1">
      <alignment horizontal="center"/>
    </xf>
    <xf numFmtId="10" fontId="0" fillId="0" borderId="0" xfId="1" applyNumberFormat="1" applyFont="1"/>
    <xf numFmtId="0" fontId="12" fillId="8" borderId="1" xfId="0" applyFont="1" applyFill="1" applyBorder="1" applyAlignment="1">
      <alignment horizontal="center"/>
    </xf>
    <xf numFmtId="165" fontId="13" fillId="5" borderId="4" xfId="0" applyNumberFormat="1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65" fontId="0" fillId="5" borderId="1" xfId="0" applyNumberFormat="1" applyFill="1" applyBorder="1" applyAlignment="1">
      <alignment horizontal="center" vertical="center"/>
    </xf>
    <xf numFmtId="165" fontId="0" fillId="5" borderId="8" xfId="0" applyNumberFormat="1" applyFill="1" applyBorder="1" applyAlignment="1">
      <alignment horizontal="center" vertical="center"/>
    </xf>
    <xf numFmtId="165" fontId="0" fillId="5" borderId="6" xfId="0" applyNumberFormat="1" applyFill="1" applyBorder="1" applyAlignment="1">
      <alignment horizontal="center" vertical="center"/>
    </xf>
    <xf numFmtId="165" fontId="0" fillId="5" borderId="4" xfId="0" applyNumberForma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10" fontId="0" fillId="0" borderId="0" xfId="1" applyNumberFormat="1" applyFont="1" applyBorder="1"/>
    <xf numFmtId="0" fontId="5" fillId="0" borderId="7" xfId="0" applyFont="1" applyBorder="1" applyAlignment="1">
      <alignment horizontal="center"/>
    </xf>
    <xf numFmtId="10" fontId="0" fillId="0" borderId="7" xfId="1" applyNumberFormat="1" applyFont="1" applyBorder="1"/>
    <xf numFmtId="0" fontId="5" fillId="13" borderId="10" xfId="0" applyFont="1" applyFill="1" applyBorder="1" applyAlignment="1">
      <alignment horizontal="center"/>
    </xf>
    <xf numFmtId="0" fontId="0" fillId="15" borderId="0" xfId="0" applyFill="1"/>
    <xf numFmtId="0" fontId="14" fillId="0" borderId="0" xfId="0" applyFont="1"/>
    <xf numFmtId="0" fontId="0" fillId="8" borderId="0" xfId="0" applyFill="1"/>
    <xf numFmtId="0" fontId="0" fillId="16" borderId="0" xfId="0" applyFill="1"/>
    <xf numFmtId="0" fontId="0" fillId="17" borderId="0" xfId="0" applyFill="1"/>
    <xf numFmtId="2" fontId="13" fillId="5" borderId="5" xfId="0" applyNumberFormat="1" applyFont="1" applyFill="1" applyBorder="1" applyAlignment="1">
      <alignment horizontal="center" vertical="center"/>
    </xf>
    <xf numFmtId="2" fontId="13" fillId="5" borderId="4" xfId="0" applyNumberFormat="1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165" fontId="15" fillId="5" borderId="4" xfId="0" applyNumberFormat="1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165" fontId="16" fillId="9" borderId="5" xfId="0" applyNumberFormat="1" applyFont="1" applyFill="1" applyBorder="1" applyAlignment="1">
      <alignment horizontal="center" vertical="center"/>
    </xf>
    <xf numFmtId="165" fontId="16" fillId="9" borderId="4" xfId="0" applyNumberFormat="1" applyFont="1" applyFill="1" applyBorder="1" applyAlignment="1">
      <alignment horizontal="center" vertical="center"/>
    </xf>
    <xf numFmtId="165" fontId="17" fillId="9" borderId="5" xfId="0" applyNumberFormat="1" applyFont="1" applyFill="1" applyBorder="1" applyAlignment="1">
      <alignment horizontal="center" vertical="center"/>
    </xf>
    <xf numFmtId="165" fontId="17" fillId="9" borderId="4" xfId="0" applyNumberFormat="1" applyFont="1" applyFill="1" applyBorder="1" applyAlignment="1">
      <alignment horizontal="center" vertical="center"/>
    </xf>
    <xf numFmtId="0" fontId="0" fillId="18" borderId="5" xfId="0" applyFill="1" applyBorder="1"/>
    <xf numFmtId="0" fontId="0" fillId="18" borderId="4" xfId="0" applyFill="1" applyBorder="1"/>
    <xf numFmtId="165" fontId="16" fillId="9" borderId="1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5" borderId="11" xfId="0" applyFill="1" applyBorder="1"/>
    <xf numFmtId="0" fontId="0" fillId="5" borderId="12" xfId="0" applyFill="1" applyBorder="1"/>
    <xf numFmtId="0" fontId="0" fillId="0" borderId="8" xfId="0" applyBorder="1"/>
    <xf numFmtId="0" fontId="0" fillId="0" borderId="10" xfId="0" applyBorder="1"/>
    <xf numFmtId="0" fontId="0" fillId="14" borderId="13" xfId="0" applyFill="1" applyBorder="1"/>
    <xf numFmtId="0" fontId="0" fillId="14" borderId="14" xfId="0" applyFill="1" applyBorder="1"/>
    <xf numFmtId="0" fontId="0" fillId="14" borderId="15" xfId="0" applyFill="1" applyBorder="1"/>
    <xf numFmtId="0" fontId="0" fillId="14" borderId="16" xfId="0" applyFill="1" applyBorder="1"/>
    <xf numFmtId="0" fontId="5" fillId="14" borderId="0" xfId="0" applyFont="1" applyFill="1" applyAlignment="1">
      <alignment horizontal="left" vertical="center"/>
    </xf>
    <xf numFmtId="0" fontId="0" fillId="14" borderId="0" xfId="0" applyFill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15" fillId="19" borderId="5" xfId="0" applyFont="1" applyFill="1" applyBorder="1" applyAlignment="1">
      <alignment horizontal="center" vertical="center"/>
    </xf>
    <xf numFmtId="165" fontId="15" fillId="19" borderId="4" xfId="0" applyNumberFormat="1" applyFont="1" applyFill="1" applyBorder="1" applyAlignment="1">
      <alignment horizontal="center" vertical="center"/>
    </xf>
    <xf numFmtId="0" fontId="15" fillId="19" borderId="4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0" fillId="19" borderId="10" xfId="0" applyFill="1" applyBorder="1" applyAlignment="1">
      <alignment horizontal="center" vertical="center"/>
    </xf>
    <xf numFmtId="0" fontId="8" fillId="19" borderId="10" xfId="0" applyFont="1" applyFill="1" applyBorder="1" applyAlignment="1">
      <alignment horizontal="center" vertical="center"/>
    </xf>
    <xf numFmtId="0" fontId="10" fillId="18" borderId="5" xfId="0" applyFont="1" applyFill="1" applyBorder="1"/>
    <xf numFmtId="165" fontId="10" fillId="9" borderId="10" xfId="0" applyNumberFormat="1" applyFont="1" applyFill="1" applyBorder="1" applyAlignment="1">
      <alignment horizontal="center" vertical="center"/>
    </xf>
    <xf numFmtId="165" fontId="10" fillId="9" borderId="4" xfId="0" applyNumberFormat="1" applyFont="1" applyFill="1" applyBorder="1" applyAlignment="1">
      <alignment horizontal="center" vertical="center"/>
    </xf>
    <xf numFmtId="2" fontId="18" fillId="5" borderId="5" xfId="0" applyNumberFormat="1" applyFont="1" applyFill="1" applyBorder="1" applyAlignment="1">
      <alignment horizontal="center" vertical="center"/>
    </xf>
    <xf numFmtId="165" fontId="19" fillId="19" borderId="4" xfId="0" applyNumberFormat="1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18" fillId="10" borderId="5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2" fontId="10" fillId="5" borderId="1" xfId="0" applyNumberFormat="1" applyFont="1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165" fontId="10" fillId="10" borderId="5" xfId="0" applyNumberFormat="1" applyFont="1" applyFill="1" applyBorder="1" applyAlignment="1">
      <alignment horizontal="center" vertical="center"/>
    </xf>
    <xf numFmtId="0" fontId="0" fillId="20" borderId="0" xfId="0" applyFill="1"/>
    <xf numFmtId="0" fontId="0" fillId="20" borderId="0" xfId="0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1" fontId="0" fillId="0" borderId="0" xfId="0" applyNumberFormat="1" applyAlignment="1">
      <alignment horizontal="center" vertical="center"/>
    </xf>
    <xf numFmtId="0" fontId="10" fillId="18" borderId="0" xfId="0" applyFont="1" applyFill="1"/>
    <xf numFmtId="2" fontId="18" fillId="5" borderId="0" xfId="0" applyNumberFormat="1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176646</xdr:colOff>
      <xdr:row>19</xdr:row>
      <xdr:rowOff>124751</xdr:rowOff>
    </xdr:from>
    <xdr:ext cx="2772929" cy="374878"/>
    <xdr:pic>
      <xdr:nvPicPr>
        <xdr:cNvPr id="2" name="Imagen 1">
          <a:extLst>
            <a:ext uri="{FF2B5EF4-FFF2-40B4-BE49-F238E27FC236}">
              <a16:creationId xmlns:a16="http://schemas.microsoft.com/office/drawing/2014/main" id="{9385C1F5-7341-4A6D-A276-A8CD93C9C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4846" y="4401476"/>
          <a:ext cx="2772929" cy="374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188766</xdr:colOff>
      <xdr:row>24</xdr:row>
      <xdr:rowOff>32612</xdr:rowOff>
    </xdr:from>
    <xdr:ext cx="3238646" cy="230621"/>
    <xdr:pic>
      <xdr:nvPicPr>
        <xdr:cNvPr id="3" name="Imagen 2">
          <a:extLst>
            <a:ext uri="{FF2B5EF4-FFF2-40B4-BE49-F238E27FC236}">
              <a16:creationId xmlns:a16="http://schemas.microsoft.com/office/drawing/2014/main" id="{3B5B9E7C-D2C8-4A62-8075-DCCF7A6E9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966" y="5261837"/>
          <a:ext cx="3238646" cy="2306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176646</xdr:colOff>
      <xdr:row>22</xdr:row>
      <xdr:rowOff>124751</xdr:rowOff>
    </xdr:from>
    <xdr:ext cx="2772929" cy="374878"/>
    <xdr:pic>
      <xdr:nvPicPr>
        <xdr:cNvPr id="4" name="Imagen 3">
          <a:extLst>
            <a:ext uri="{FF2B5EF4-FFF2-40B4-BE49-F238E27FC236}">
              <a16:creationId xmlns:a16="http://schemas.microsoft.com/office/drawing/2014/main" id="{A30B9F07-1BA1-404F-86F9-FF3401942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37209" y="3807751"/>
          <a:ext cx="2772929" cy="374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188766</xdr:colOff>
      <xdr:row>27</xdr:row>
      <xdr:rowOff>32612</xdr:rowOff>
    </xdr:from>
    <xdr:ext cx="3238646" cy="230621"/>
    <xdr:pic>
      <xdr:nvPicPr>
        <xdr:cNvPr id="5" name="Imagen 4">
          <a:extLst>
            <a:ext uri="{FF2B5EF4-FFF2-40B4-BE49-F238E27FC236}">
              <a16:creationId xmlns:a16="http://schemas.microsoft.com/office/drawing/2014/main" id="{31366C77-4417-445F-AAA2-A9F42FB15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9329" y="4668112"/>
          <a:ext cx="3238646" cy="2306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176646</xdr:colOff>
      <xdr:row>19</xdr:row>
      <xdr:rowOff>124751</xdr:rowOff>
    </xdr:from>
    <xdr:to>
      <xdr:col>26</xdr:col>
      <xdr:colOff>481013</xdr:colOff>
      <xdr:row>21</xdr:row>
      <xdr:rowOff>102754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B51D821-9C57-D7AE-19FF-E93DFA3D6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73746" y="3839501"/>
          <a:ext cx="2766579" cy="374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188766</xdr:colOff>
      <xdr:row>24</xdr:row>
      <xdr:rowOff>32612</xdr:rowOff>
    </xdr:from>
    <xdr:to>
      <xdr:col>27</xdr:col>
      <xdr:colOff>347662</xdr:colOff>
      <xdr:row>25</xdr:row>
      <xdr:rowOff>64795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100BE0-F0BA-697E-301B-57B7B2159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5866" y="4699862"/>
          <a:ext cx="3230709" cy="2306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180976</xdr:colOff>
      <xdr:row>2</xdr:row>
      <xdr:rowOff>28575</xdr:rowOff>
    </xdr:from>
    <xdr:to>
      <xdr:col>24</xdr:col>
      <xdr:colOff>600076</xdr:colOff>
      <xdr:row>20</xdr:row>
      <xdr:rowOff>123825</xdr:rowOff>
    </xdr:to>
    <xdr:sp macro="" textlink="">
      <xdr:nvSpPr>
        <xdr:cNvPr id="2" name="Cerrar llave 1">
          <a:extLst>
            <a:ext uri="{FF2B5EF4-FFF2-40B4-BE49-F238E27FC236}">
              <a16:creationId xmlns:a16="http://schemas.microsoft.com/office/drawing/2014/main" id="{FC0D6EB3-F7E1-267D-5DDE-EF41C9D6AD66}"/>
            </a:ext>
          </a:extLst>
        </xdr:cNvPr>
        <xdr:cNvSpPr/>
      </xdr:nvSpPr>
      <xdr:spPr>
        <a:xfrm>
          <a:off x="13696951" y="409575"/>
          <a:ext cx="419100" cy="3524250"/>
        </a:xfrm>
        <a:prstGeom prst="rightBrac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23340-0D02-4E51-94D0-E18634714B2E}">
  <dimension ref="A2:S32"/>
  <sheetViews>
    <sheetView showGridLines="0" tabSelected="1" zoomScale="90" zoomScaleNormal="90" workbookViewId="0">
      <selection activeCell="D7" sqref="D7"/>
    </sheetView>
  </sheetViews>
  <sheetFormatPr baseColWidth="10" defaultColWidth="9.140625" defaultRowHeight="15" x14ac:dyDescent="0.25"/>
  <cols>
    <col min="1" max="1" width="12.5703125" customWidth="1"/>
    <col min="2" max="6" width="9.140625" style="3"/>
    <col min="7" max="7" width="11.5703125" style="3" customWidth="1"/>
    <col min="8" max="8" width="9.5703125" style="3" customWidth="1"/>
    <col min="9" max="14" width="9.140625" style="3"/>
    <col min="15" max="15" width="13.7109375" style="3" customWidth="1"/>
    <col min="16" max="16" width="13.5703125" style="3" customWidth="1"/>
    <col min="17" max="17" width="15" bestFit="1" customWidth="1"/>
    <col min="18" max="19" width="13.5703125" bestFit="1" customWidth="1"/>
  </cols>
  <sheetData>
    <row r="2" spans="1:19" ht="15.75" thickBot="1" x14ac:dyDescent="0.3"/>
    <row r="3" spans="1:19" ht="15.75" thickBot="1" x14ac:dyDescent="0.3">
      <c r="B3" s="131" t="s">
        <v>102</v>
      </c>
      <c r="C3" s="132"/>
      <c r="D3" s="63"/>
      <c r="E3" s="63"/>
      <c r="F3" s="63"/>
      <c r="G3" s="63"/>
      <c r="H3" s="131" t="s">
        <v>103</v>
      </c>
      <c r="I3" s="133"/>
      <c r="J3" s="133"/>
      <c r="K3" s="132"/>
      <c r="L3" s="63"/>
      <c r="M3" s="63"/>
      <c r="N3" s="63"/>
      <c r="O3" s="63"/>
      <c r="P3" s="63"/>
    </row>
    <row r="4" spans="1:19" ht="18.75" thickBot="1" x14ac:dyDescent="0.3">
      <c r="B4" s="102" t="s">
        <v>2</v>
      </c>
      <c r="C4" s="102" t="s">
        <v>3</v>
      </c>
      <c r="D4" s="121" t="s">
        <v>0</v>
      </c>
      <c r="E4" s="121" t="s">
        <v>1</v>
      </c>
      <c r="F4" s="121" t="s">
        <v>4</v>
      </c>
      <c r="G4" s="121" t="s">
        <v>5</v>
      </c>
      <c r="H4" s="106" t="s">
        <v>26</v>
      </c>
      <c r="I4" s="107" t="s">
        <v>36</v>
      </c>
      <c r="J4" s="108" t="s">
        <v>35</v>
      </c>
      <c r="K4" s="106" t="s">
        <v>27</v>
      </c>
      <c r="L4" s="44" t="s">
        <v>104</v>
      </c>
      <c r="M4" s="13" t="s">
        <v>28</v>
      </c>
      <c r="N4" s="13" t="s">
        <v>29</v>
      </c>
      <c r="O4" s="2" t="s">
        <v>24</v>
      </c>
      <c r="P4" s="2" t="s">
        <v>23</v>
      </c>
      <c r="Q4" s="13" t="s">
        <v>32</v>
      </c>
      <c r="R4" s="13" t="s">
        <v>33</v>
      </c>
      <c r="S4" s="13" t="s">
        <v>34</v>
      </c>
    </row>
    <row r="5" spans="1:19" ht="15.75" thickBot="1" x14ac:dyDescent="0.3">
      <c r="A5" s="109" t="s">
        <v>98</v>
      </c>
      <c r="B5" s="110">
        <v>327.60000000000002</v>
      </c>
      <c r="C5" s="111">
        <v>318.60000000000002</v>
      </c>
      <c r="D5" s="122">
        <v>265.14249999999998</v>
      </c>
      <c r="E5" s="122">
        <v>273.47500000000002</v>
      </c>
      <c r="F5" s="122">
        <f t="shared" ref="F5:G7" si="0">+B5-D5</f>
        <v>62.457500000000039</v>
      </c>
      <c r="G5" s="122">
        <f t="shared" si="0"/>
        <v>45.125</v>
      </c>
      <c r="H5" s="112">
        <v>321.39999999999998</v>
      </c>
      <c r="I5" s="105">
        <v>1.04610383064516</v>
      </c>
      <c r="J5" s="113">
        <f t="shared" ref="J5" si="1">H5*I5</f>
        <v>336.21777116935442</v>
      </c>
      <c r="K5" s="114">
        <v>324.5</v>
      </c>
      <c r="L5" s="115">
        <v>37</v>
      </c>
      <c r="M5" s="116">
        <v>1.1000000000000001</v>
      </c>
      <c r="N5" s="116">
        <v>0.9</v>
      </c>
      <c r="O5" s="117">
        <f t="shared" ref="O5" si="2">(J5-D5)-(F5-G5)-(M5*(K5-E5))</f>
        <v>-2.3847288306455781</v>
      </c>
      <c r="P5" s="117">
        <f t="shared" ref="P5" si="3">(J5-D5)-(N5*(F5/G5)*(K5-E5))</f>
        <v>7.5139516402685445</v>
      </c>
      <c r="Q5" s="118">
        <v>432</v>
      </c>
      <c r="R5" s="119">
        <f t="shared" ref="R5" si="4">+O5/Q5*1000</f>
        <v>-5.5202056264943939</v>
      </c>
      <c r="S5" s="120">
        <f>+P5/Q5*1000</f>
        <v>17.393406574695703</v>
      </c>
    </row>
    <row r="6" spans="1:19" ht="15.75" thickBot="1" x14ac:dyDescent="0.3">
      <c r="A6" s="128"/>
      <c r="B6" s="110">
        <v>327.60000000000002</v>
      </c>
      <c r="C6" s="111">
        <v>318.60000000000002</v>
      </c>
      <c r="D6" s="122">
        <v>265.14249999999998</v>
      </c>
      <c r="E6" s="122">
        <v>273.47500000000002</v>
      </c>
      <c r="F6" s="122">
        <f t="shared" si="0"/>
        <v>62.457500000000039</v>
      </c>
      <c r="G6" s="122">
        <f t="shared" si="0"/>
        <v>45.125</v>
      </c>
      <c r="H6" s="129">
        <v>326.60000000000002</v>
      </c>
      <c r="I6" s="105">
        <v>1.04610383064516</v>
      </c>
      <c r="J6" s="113">
        <f t="shared" ref="J6" si="5">H6*I6</f>
        <v>341.65751108870927</v>
      </c>
      <c r="K6" s="130">
        <v>316.8</v>
      </c>
      <c r="L6" s="115">
        <v>37</v>
      </c>
      <c r="M6" s="116">
        <v>1.1000000000000001</v>
      </c>
      <c r="N6" s="116">
        <v>0.9</v>
      </c>
      <c r="O6" s="117">
        <f t="shared" ref="O6" si="6">(J6-D6)-(F6-G6)-(M6*(K6-E6))</f>
        <v>11.525011088709256</v>
      </c>
      <c r="P6" s="117">
        <f t="shared" ref="P6" si="7">(J6-D6)-(N6*(F6/G6)*(K6-E6))</f>
        <v>22.545502639955799</v>
      </c>
      <c r="Q6" s="118">
        <v>432</v>
      </c>
      <c r="R6" s="119">
        <f t="shared" ref="R6" si="8">+O6/Q6*1000</f>
        <v>26.678266409049204</v>
      </c>
      <c r="S6" s="120">
        <f>+P6/Q6*1000</f>
        <v>52.188663518416199</v>
      </c>
    </row>
    <row r="7" spans="1:19" ht="15.75" thickBot="1" x14ac:dyDescent="0.3">
      <c r="A7" s="128"/>
      <c r="B7" s="110">
        <v>370</v>
      </c>
      <c r="C7" s="111">
        <v>331.6</v>
      </c>
      <c r="D7" s="122">
        <v>265.14249999999998</v>
      </c>
      <c r="E7" s="122">
        <v>273.47500000000002</v>
      </c>
      <c r="F7" s="122">
        <f t="shared" si="0"/>
        <v>104.85750000000002</v>
      </c>
      <c r="G7" s="122">
        <f t="shared" si="0"/>
        <v>58.125</v>
      </c>
      <c r="H7" s="129">
        <v>322.60000000000002</v>
      </c>
      <c r="I7" s="105">
        <v>1.04610383064516</v>
      </c>
      <c r="J7" s="113">
        <f t="shared" ref="J7" si="9">H7*I7</f>
        <v>337.47309576612867</v>
      </c>
      <c r="K7" s="130">
        <v>336</v>
      </c>
      <c r="L7" s="115">
        <v>37</v>
      </c>
      <c r="M7" s="116">
        <v>1.1000000000000001</v>
      </c>
      <c r="N7" s="116">
        <v>0.9</v>
      </c>
      <c r="O7" s="117">
        <f t="shared" ref="O7" si="10">(J7-D7)-(F7-G7)-(M7*(K7-E7))</f>
        <v>-43.17940423387131</v>
      </c>
      <c r="P7" s="117">
        <f t="shared" ref="P7" si="11">(J7-D7)-(N7*(F7/G7)*(K7-E7))</f>
        <v>-29.184994233871308</v>
      </c>
      <c r="Q7" s="118">
        <v>432</v>
      </c>
      <c r="R7" s="119">
        <f t="shared" ref="R7" si="12">+O7/Q7*1000</f>
        <v>-99.952324615442848</v>
      </c>
      <c r="S7" s="120">
        <f>+P7/Q7*1000</f>
        <v>-67.557857022850243</v>
      </c>
    </row>
    <row r="8" spans="1:19" x14ac:dyDescent="0.25">
      <c r="A8" s="123" t="s">
        <v>100</v>
      </c>
      <c r="B8" s="124"/>
    </row>
    <row r="9" spans="1:19" x14ac:dyDescent="0.25">
      <c r="P9" s="125"/>
    </row>
    <row r="11" spans="1:19" x14ac:dyDescent="0.25">
      <c r="A11" s="91" t="s">
        <v>12</v>
      </c>
      <c r="P11" s="126"/>
    </row>
    <row r="12" spans="1:19" x14ac:dyDescent="0.25">
      <c r="A12" s="91" t="s">
        <v>13</v>
      </c>
    </row>
    <row r="13" spans="1:19" x14ac:dyDescent="0.25">
      <c r="A13" s="100" t="s">
        <v>14</v>
      </c>
      <c r="B13" s="101"/>
      <c r="C13" s="101"/>
    </row>
    <row r="14" spans="1:19" s="3" customFormat="1" x14ac:dyDescent="0.25">
      <c r="A14" s="91" t="s">
        <v>15</v>
      </c>
      <c r="Q14"/>
      <c r="R14"/>
      <c r="S14"/>
    </row>
    <row r="15" spans="1:19" s="3" customFormat="1" x14ac:dyDescent="0.25">
      <c r="A15" s="91" t="s">
        <v>16</v>
      </c>
      <c r="Q15"/>
      <c r="R15"/>
      <c r="S15"/>
    </row>
    <row r="16" spans="1:19" s="3" customFormat="1" x14ac:dyDescent="0.25">
      <c r="A16" s="91" t="s">
        <v>17</v>
      </c>
      <c r="Q16"/>
      <c r="R16"/>
      <c r="S16"/>
    </row>
    <row r="17" spans="1:19" s="3" customFormat="1" x14ac:dyDescent="0.25">
      <c r="A17" s="91" t="s">
        <v>18</v>
      </c>
      <c r="Q17"/>
      <c r="R17"/>
      <c r="S17"/>
    </row>
    <row r="18" spans="1:19" s="3" customFormat="1" x14ac:dyDescent="0.25">
      <c r="A18" s="91" t="s">
        <v>19</v>
      </c>
      <c r="Q18"/>
      <c r="R18"/>
      <c r="S18"/>
    </row>
    <row r="19" spans="1:19" s="3" customFormat="1" x14ac:dyDescent="0.25">
      <c r="A19" s="91" t="s">
        <v>20</v>
      </c>
      <c r="Q19"/>
      <c r="R19"/>
      <c r="S19"/>
    </row>
    <row r="21" spans="1:19" s="3" customFormat="1" x14ac:dyDescent="0.25">
      <c r="A21" s="3" t="s">
        <v>30</v>
      </c>
      <c r="D21"/>
      <c r="E21"/>
      <c r="F21"/>
      <c r="G21"/>
      <c r="H21"/>
      <c r="Q21"/>
      <c r="R21"/>
      <c r="S21"/>
    </row>
    <row r="22" spans="1:19" s="3" customFormat="1" x14ac:dyDescent="0.25">
      <c r="D22"/>
      <c r="E22"/>
      <c r="F22"/>
      <c r="G22"/>
      <c r="H22"/>
      <c r="Q22"/>
      <c r="R22"/>
      <c r="S22"/>
    </row>
    <row r="23" spans="1:19" s="3" customFormat="1" x14ac:dyDescent="0.25">
      <c r="D23"/>
      <c r="E23"/>
      <c r="F23"/>
      <c r="G23"/>
      <c r="H23"/>
      <c r="Q23"/>
      <c r="R23"/>
      <c r="S23"/>
    </row>
    <row r="24" spans="1:19" s="3" customFormat="1" x14ac:dyDescent="0.25">
      <c r="D24"/>
      <c r="E24"/>
      <c r="F24"/>
      <c r="G24"/>
      <c r="H24"/>
      <c r="Q24"/>
      <c r="R24"/>
      <c r="S24"/>
    </row>
    <row r="25" spans="1:19" s="3" customFormat="1" x14ac:dyDescent="0.25">
      <c r="A25" s="3" t="s">
        <v>31</v>
      </c>
      <c r="D25"/>
      <c r="E25"/>
      <c r="F25"/>
      <c r="G25"/>
      <c r="H25"/>
      <c r="Q25"/>
      <c r="R25"/>
      <c r="S25"/>
    </row>
    <row r="26" spans="1:19" s="3" customFormat="1" x14ac:dyDescent="0.25">
      <c r="D26"/>
      <c r="E26"/>
      <c r="F26"/>
      <c r="G26"/>
      <c r="H26"/>
      <c r="Q26"/>
      <c r="R26"/>
      <c r="S26"/>
    </row>
    <row r="30" spans="1:19" x14ac:dyDescent="0.25">
      <c r="C30" s="125"/>
      <c r="G30" s="125"/>
    </row>
    <row r="31" spans="1:19" x14ac:dyDescent="0.25">
      <c r="C31" s="125"/>
      <c r="G31" s="125"/>
    </row>
    <row r="32" spans="1:19" x14ac:dyDescent="0.25">
      <c r="C32" s="125"/>
      <c r="D32" s="127"/>
    </row>
  </sheetData>
  <mergeCells count="2">
    <mergeCell ref="B3:C3"/>
    <mergeCell ref="H3:K3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67A5A-A44E-4A2E-AD0F-BAF40E89F514}">
  <dimension ref="A6:S29"/>
  <sheetViews>
    <sheetView showGridLines="0" topLeftCell="A4" zoomScale="120" zoomScaleNormal="120" workbookViewId="0">
      <selection activeCell="J9" sqref="J9"/>
    </sheetView>
  </sheetViews>
  <sheetFormatPr baseColWidth="10" defaultColWidth="9.140625" defaultRowHeight="15" x14ac:dyDescent="0.25"/>
  <cols>
    <col min="1" max="1" width="12.5703125" customWidth="1"/>
    <col min="2" max="7" width="9.140625" style="3"/>
    <col min="8" max="8" width="9.5703125" style="3" customWidth="1"/>
    <col min="9" max="14" width="9.140625" style="3"/>
    <col min="15" max="15" width="13.7109375" style="3" customWidth="1"/>
    <col min="16" max="16" width="13.5703125" style="3" customWidth="1"/>
    <col min="17" max="17" width="15" bestFit="1" customWidth="1"/>
    <col min="18" max="19" width="13.5703125" bestFit="1" customWidth="1"/>
  </cols>
  <sheetData>
    <row r="6" spans="1:19" ht="15.75" thickBot="1" x14ac:dyDescent="0.3"/>
    <row r="7" spans="1:19" ht="15.75" thickBot="1" x14ac:dyDescent="0.3">
      <c r="B7" s="131" t="s">
        <v>102</v>
      </c>
      <c r="C7" s="132"/>
      <c r="D7" s="63"/>
      <c r="E7" s="63"/>
      <c r="F7" s="63"/>
      <c r="G7" s="63"/>
      <c r="H7" s="131" t="s">
        <v>103</v>
      </c>
      <c r="I7" s="133"/>
      <c r="J7" s="133"/>
      <c r="K7" s="132"/>
      <c r="L7" s="63"/>
      <c r="M7" s="63"/>
      <c r="N7" s="63"/>
      <c r="O7" s="63"/>
      <c r="P7" s="63"/>
    </row>
    <row r="8" spans="1:19" ht="18.75" thickBot="1" x14ac:dyDescent="0.3">
      <c r="B8" s="102" t="s">
        <v>2</v>
      </c>
      <c r="C8" s="102" t="s">
        <v>3</v>
      </c>
      <c r="D8" s="17" t="s">
        <v>0</v>
      </c>
      <c r="E8" s="17" t="s">
        <v>1</v>
      </c>
      <c r="F8" s="17" t="s">
        <v>4</v>
      </c>
      <c r="G8" s="17" t="s">
        <v>5</v>
      </c>
      <c r="H8" s="106" t="s">
        <v>26</v>
      </c>
      <c r="I8" s="107" t="s">
        <v>36</v>
      </c>
      <c r="J8" s="108" t="s">
        <v>35</v>
      </c>
      <c r="K8" s="106" t="s">
        <v>27</v>
      </c>
      <c r="L8" s="44" t="s">
        <v>25</v>
      </c>
      <c r="M8" s="13" t="s">
        <v>28</v>
      </c>
      <c r="N8" s="13" t="s">
        <v>29</v>
      </c>
      <c r="O8" s="2" t="s">
        <v>24</v>
      </c>
      <c r="P8" s="2" t="s">
        <v>23</v>
      </c>
      <c r="Q8" s="13" t="s">
        <v>32</v>
      </c>
      <c r="R8" s="13" t="s">
        <v>33</v>
      </c>
      <c r="S8" s="13" t="s">
        <v>34</v>
      </c>
    </row>
    <row r="9" spans="1:19" ht="15.75" thickBot="1" x14ac:dyDescent="0.3">
      <c r="A9" s="88" t="s">
        <v>98</v>
      </c>
      <c r="B9" s="90">
        <v>314.8</v>
      </c>
      <c r="C9" s="85">
        <v>309.89999999999998</v>
      </c>
      <c r="D9" s="39">
        <v>265.14249999999998</v>
      </c>
      <c r="E9" s="39">
        <v>273.47500000000002</v>
      </c>
      <c r="F9" s="39">
        <f t="shared" ref="F9:G10" si="0">+B9-D9</f>
        <v>49.657500000000027</v>
      </c>
      <c r="G9" s="39">
        <f t="shared" si="0"/>
        <v>36.424999999999955</v>
      </c>
      <c r="H9" s="79">
        <v>308.5</v>
      </c>
      <c r="I9" s="103">
        <v>1.0461038306451613</v>
      </c>
      <c r="J9" s="104">
        <f t="shared" ref="J9:J10" si="1">H9*I9</f>
        <v>322.72303175403226</v>
      </c>
      <c r="K9" s="60">
        <v>313.5</v>
      </c>
      <c r="L9" s="46">
        <v>37</v>
      </c>
      <c r="M9" s="26">
        <v>1.1000000000000001</v>
      </c>
      <c r="N9" s="26">
        <v>0.9</v>
      </c>
      <c r="O9" s="31">
        <f t="shared" ref="O9:O10" si="2">(J9-D9)-(F9-G9)-(M9*(K9-E9))</f>
        <v>0.32053175403222411</v>
      </c>
      <c r="P9" s="31">
        <f t="shared" ref="P9:P10" si="3">(J9-D9)-(N9*(F9/G9)*(K9-E9))</f>
        <v>8.4717522413348902</v>
      </c>
      <c r="Q9" s="27">
        <v>432</v>
      </c>
      <c r="R9" s="16">
        <f t="shared" ref="R9:R10" si="4">+O9/Q9*1000</f>
        <v>0.74197165285237054</v>
      </c>
      <c r="S9" s="48">
        <f t="shared" ref="S9:S10" si="5">+P9/Q9*1000</f>
        <v>19.610537595682615</v>
      </c>
    </row>
    <row r="10" spans="1:19" ht="15.75" thickBot="1" x14ac:dyDescent="0.3">
      <c r="A10" s="89" t="s">
        <v>99</v>
      </c>
      <c r="B10" s="85">
        <v>314.8</v>
      </c>
      <c r="C10" s="85">
        <v>309.89999999999998</v>
      </c>
      <c r="D10" s="38">
        <v>265.14249999999998</v>
      </c>
      <c r="E10" s="38">
        <v>273.47500000000002</v>
      </c>
      <c r="F10" s="38">
        <f t="shared" si="0"/>
        <v>49.657500000000027</v>
      </c>
      <c r="G10" s="38">
        <f t="shared" si="0"/>
        <v>36.424999999999955</v>
      </c>
      <c r="H10" s="80">
        <v>309.5</v>
      </c>
      <c r="I10" s="105">
        <v>1.04610383064516</v>
      </c>
      <c r="J10" s="104">
        <f t="shared" si="1"/>
        <v>323.76913558467703</v>
      </c>
      <c r="K10" s="61">
        <v>311.5</v>
      </c>
      <c r="L10" s="45">
        <v>37</v>
      </c>
      <c r="M10" s="19">
        <v>1.1000000000000001</v>
      </c>
      <c r="N10" s="19">
        <v>0.9</v>
      </c>
      <c r="O10" s="30">
        <f t="shared" si="2"/>
        <v>3.5666355846769946</v>
      </c>
      <c r="P10" s="30">
        <f t="shared" si="3"/>
        <v>11.971761356811513</v>
      </c>
      <c r="Q10" s="20">
        <v>432</v>
      </c>
      <c r="R10" s="16">
        <f t="shared" si="4"/>
        <v>8.2561008904560058</v>
      </c>
      <c r="S10" s="48">
        <f t="shared" si="5"/>
        <v>27.712410548174798</v>
      </c>
    </row>
    <row r="11" spans="1:19" x14ac:dyDescent="0.25">
      <c r="A11" t="s">
        <v>100</v>
      </c>
      <c r="H11" s="3">
        <v>120</v>
      </c>
      <c r="K11" s="3">
        <v>293</v>
      </c>
    </row>
    <row r="14" spans="1:19" x14ac:dyDescent="0.25">
      <c r="A14" s="91" t="s">
        <v>12</v>
      </c>
    </row>
    <row r="15" spans="1:19" x14ac:dyDescent="0.25">
      <c r="A15" s="91" t="s">
        <v>13</v>
      </c>
    </row>
    <row r="16" spans="1:19" x14ac:dyDescent="0.25">
      <c r="A16" s="100" t="s">
        <v>14</v>
      </c>
      <c r="B16" s="101"/>
      <c r="C16" s="101"/>
    </row>
    <row r="17" spans="1:8" x14ac:dyDescent="0.25">
      <c r="A17" s="91" t="s">
        <v>15</v>
      </c>
    </row>
    <row r="18" spans="1:8" x14ac:dyDescent="0.25">
      <c r="A18" s="91" t="s">
        <v>16</v>
      </c>
    </row>
    <row r="19" spans="1:8" x14ac:dyDescent="0.25">
      <c r="A19" s="91" t="s">
        <v>17</v>
      </c>
    </row>
    <row r="20" spans="1:8" x14ac:dyDescent="0.25">
      <c r="A20" s="91" t="s">
        <v>18</v>
      </c>
    </row>
    <row r="21" spans="1:8" x14ac:dyDescent="0.25">
      <c r="A21" s="91" t="s">
        <v>19</v>
      </c>
    </row>
    <row r="22" spans="1:8" x14ac:dyDescent="0.25">
      <c r="A22" s="91" t="s">
        <v>20</v>
      </c>
    </row>
    <row r="24" spans="1:8" x14ac:dyDescent="0.25">
      <c r="A24" s="3" t="s">
        <v>30</v>
      </c>
      <c r="D24"/>
      <c r="E24"/>
      <c r="F24"/>
      <c r="G24"/>
      <c r="H24"/>
    </row>
    <row r="25" spans="1:8" x14ac:dyDescent="0.25">
      <c r="A25" s="3"/>
      <c r="D25"/>
      <c r="E25"/>
      <c r="F25"/>
      <c r="G25"/>
      <c r="H25"/>
    </row>
    <row r="26" spans="1:8" x14ac:dyDescent="0.25">
      <c r="A26" s="3"/>
      <c r="D26"/>
      <c r="E26"/>
      <c r="F26"/>
      <c r="G26"/>
      <c r="H26"/>
    </row>
    <row r="27" spans="1:8" x14ac:dyDescent="0.25">
      <c r="A27" s="3"/>
      <c r="D27"/>
      <c r="E27"/>
      <c r="F27"/>
      <c r="G27"/>
      <c r="H27"/>
    </row>
    <row r="28" spans="1:8" x14ac:dyDescent="0.25">
      <c r="A28" s="3" t="s">
        <v>31</v>
      </c>
      <c r="D28"/>
      <c r="E28"/>
      <c r="F28"/>
      <c r="G28"/>
      <c r="H28"/>
    </row>
    <row r="29" spans="1:8" x14ac:dyDescent="0.25">
      <c r="A29" s="3"/>
      <c r="D29"/>
      <c r="E29"/>
      <c r="F29"/>
      <c r="G29"/>
      <c r="H29"/>
    </row>
  </sheetData>
  <mergeCells count="2">
    <mergeCell ref="B7:C7"/>
    <mergeCell ref="H7:K7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A6C46-C2A2-4DCE-A5A5-16378036F1C9}">
  <dimension ref="A1:L6"/>
  <sheetViews>
    <sheetView zoomScale="115" zoomScaleNormal="115" workbookViewId="0">
      <selection activeCell="J16" sqref="J16"/>
    </sheetView>
  </sheetViews>
  <sheetFormatPr baseColWidth="10" defaultRowHeight="15" x14ac:dyDescent="0.25"/>
  <cols>
    <col min="2" max="3" width="11.42578125" style="41"/>
  </cols>
  <sheetData>
    <row r="1" spans="1:12" x14ac:dyDescent="0.25">
      <c r="D1" s="134" t="s">
        <v>77</v>
      </c>
      <c r="E1" s="134"/>
      <c r="F1" s="134"/>
      <c r="G1" s="134"/>
      <c r="H1" s="134"/>
      <c r="I1" s="134"/>
      <c r="J1" s="134"/>
      <c r="K1" s="134"/>
      <c r="L1" s="134"/>
    </row>
    <row r="2" spans="1:12" x14ac:dyDescent="0.25">
      <c r="B2" s="15" t="s">
        <v>79</v>
      </c>
      <c r="C2" s="15" t="s">
        <v>80</v>
      </c>
      <c r="D2" s="14">
        <v>-30</v>
      </c>
      <c r="E2" s="14">
        <v>-20</v>
      </c>
      <c r="F2" s="14">
        <v>-10</v>
      </c>
      <c r="G2" s="14">
        <v>0</v>
      </c>
      <c r="H2" s="14">
        <v>10</v>
      </c>
      <c r="I2" s="14">
        <v>20</v>
      </c>
      <c r="J2" s="14">
        <v>30</v>
      </c>
      <c r="K2" s="14">
        <v>40</v>
      </c>
      <c r="L2" s="14">
        <v>50</v>
      </c>
    </row>
    <row r="3" spans="1:12" ht="15.75" thickBot="1" x14ac:dyDescent="0.3">
      <c r="A3" s="135" t="s">
        <v>78</v>
      </c>
      <c r="B3" s="15">
        <v>1</v>
      </c>
      <c r="C3" s="15" t="s">
        <v>81</v>
      </c>
      <c r="D3" s="14">
        <v>2.9</v>
      </c>
      <c r="E3" s="14">
        <v>2.9</v>
      </c>
      <c r="F3" s="14">
        <v>2.2000000000000002</v>
      </c>
      <c r="G3" s="14">
        <v>1.8</v>
      </c>
      <c r="H3" s="14">
        <v>1.7</v>
      </c>
      <c r="I3" s="14">
        <v>1.6</v>
      </c>
      <c r="J3" s="94">
        <v>1.5</v>
      </c>
      <c r="K3" s="94">
        <v>1.4</v>
      </c>
      <c r="L3" s="14">
        <v>1.3</v>
      </c>
    </row>
    <row r="4" spans="1:12" x14ac:dyDescent="0.25">
      <c r="A4" s="135"/>
      <c r="B4" s="42">
        <v>2</v>
      </c>
      <c r="C4" s="42" t="s">
        <v>82</v>
      </c>
      <c r="D4" s="43">
        <v>1.8</v>
      </c>
      <c r="E4" s="43">
        <v>1.8</v>
      </c>
      <c r="F4" s="43">
        <v>1.4</v>
      </c>
      <c r="G4" s="43">
        <v>1.1000000000000001</v>
      </c>
      <c r="H4" s="43">
        <v>1.1000000000000001</v>
      </c>
      <c r="I4" s="92">
        <v>1</v>
      </c>
      <c r="J4" s="96">
        <v>0.9</v>
      </c>
      <c r="K4" s="97">
        <v>0.9</v>
      </c>
      <c r="L4" s="93">
        <v>0.8</v>
      </c>
    </row>
    <row r="5" spans="1:12" ht="15.75" thickBot="1" x14ac:dyDescent="0.3">
      <c r="A5" s="135"/>
      <c r="B5" s="42">
        <v>3</v>
      </c>
      <c r="C5" s="42" t="s">
        <v>83</v>
      </c>
      <c r="D5" s="43">
        <v>0.8</v>
      </c>
      <c r="E5" s="43">
        <v>0.8</v>
      </c>
      <c r="F5" s="43">
        <v>0.8</v>
      </c>
      <c r="G5" s="43">
        <v>0.8</v>
      </c>
      <c r="H5" s="43">
        <v>0.9</v>
      </c>
      <c r="I5" s="92">
        <v>1</v>
      </c>
      <c r="J5" s="98">
        <v>1.1000000000000001</v>
      </c>
      <c r="K5" s="99">
        <v>1.2</v>
      </c>
      <c r="L5" s="93">
        <v>1.3</v>
      </c>
    </row>
    <row r="6" spans="1:12" x14ac:dyDescent="0.25">
      <c r="A6" s="135"/>
      <c r="B6" s="15">
        <v>4</v>
      </c>
      <c r="C6" s="15" t="s">
        <v>84</v>
      </c>
      <c r="D6" s="14">
        <v>-25</v>
      </c>
      <c r="E6" s="14">
        <v>-25</v>
      </c>
      <c r="F6" s="14">
        <v>-25</v>
      </c>
      <c r="G6" s="14">
        <v>-25</v>
      </c>
      <c r="H6" s="14">
        <v>-16</v>
      </c>
      <c r="I6" s="14">
        <v>0</v>
      </c>
      <c r="J6" s="95">
        <v>56</v>
      </c>
      <c r="K6" s="95">
        <v>200</v>
      </c>
      <c r="L6" s="14">
        <v>615</v>
      </c>
    </row>
  </sheetData>
  <mergeCells count="2">
    <mergeCell ref="D1:L1"/>
    <mergeCell ref="A3:A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B293"/>
  <sheetViews>
    <sheetView topLeftCell="A19" zoomScale="120" zoomScaleNormal="120" workbookViewId="0">
      <selection activeCell="J30" sqref="J30"/>
    </sheetView>
  </sheetViews>
  <sheetFormatPr baseColWidth="10" defaultColWidth="9.140625" defaultRowHeight="15" x14ac:dyDescent="0.25"/>
  <cols>
    <col min="1" max="1" width="3.7109375" customWidth="1"/>
    <col min="2" max="2" width="27.7109375" customWidth="1"/>
    <col min="3" max="8" width="9.140625" style="3"/>
    <col min="9" max="9" width="9.5703125" style="3" customWidth="1"/>
    <col min="10" max="15" width="9.140625" style="3"/>
    <col min="16" max="16" width="13.7109375" style="3" customWidth="1"/>
    <col min="17" max="17" width="13.5703125" style="3" customWidth="1"/>
    <col min="18" max="18" width="15" bestFit="1" customWidth="1"/>
    <col min="19" max="20" width="13.5703125" bestFit="1" customWidth="1"/>
    <col min="24" max="24" width="9.5703125" bestFit="1" customWidth="1"/>
  </cols>
  <sheetData>
    <row r="3" spans="1:24" x14ac:dyDescent="0.25">
      <c r="V3" s="40"/>
    </row>
    <row r="5" spans="1:24" x14ac:dyDescent="0.25">
      <c r="R5" t="s">
        <v>88</v>
      </c>
    </row>
    <row r="6" spans="1:24" x14ac:dyDescent="0.25">
      <c r="C6" s="62" t="s">
        <v>22</v>
      </c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</row>
    <row r="7" spans="1:24" ht="18" x14ac:dyDescent="0.25">
      <c r="C7" s="28" t="s">
        <v>2</v>
      </c>
      <c r="D7" s="28" t="s">
        <v>3</v>
      </c>
      <c r="E7" s="17" t="s">
        <v>0</v>
      </c>
      <c r="F7" s="17" t="s">
        <v>1</v>
      </c>
      <c r="G7" s="17" t="s">
        <v>4</v>
      </c>
      <c r="H7" s="17" t="s">
        <v>5</v>
      </c>
      <c r="I7" s="12" t="s">
        <v>26</v>
      </c>
      <c r="J7" s="1" t="s">
        <v>36</v>
      </c>
      <c r="K7" s="12" t="s">
        <v>35</v>
      </c>
      <c r="L7" s="12" t="s">
        <v>27</v>
      </c>
      <c r="M7" s="44" t="s">
        <v>25</v>
      </c>
      <c r="N7" s="13" t="s">
        <v>28</v>
      </c>
      <c r="O7" s="13" t="s">
        <v>29</v>
      </c>
      <c r="P7" s="2" t="s">
        <v>24</v>
      </c>
      <c r="Q7" s="2" t="s">
        <v>23</v>
      </c>
      <c r="R7" s="13" t="s">
        <v>32</v>
      </c>
      <c r="S7" s="13" t="s">
        <v>33</v>
      </c>
      <c r="T7" s="13" t="s">
        <v>34</v>
      </c>
      <c r="V7" s="138" t="s">
        <v>37</v>
      </c>
      <c r="W7" s="138"/>
      <c r="X7" s="138"/>
    </row>
    <row r="8" spans="1:24" ht="18" x14ac:dyDescent="0.25">
      <c r="A8" s="135">
        <v>1</v>
      </c>
      <c r="B8" s="14" t="s">
        <v>6</v>
      </c>
      <c r="C8" s="34">
        <f>+'WET sin flujo'!U23*1000</f>
        <v>325.97500000000002</v>
      </c>
      <c r="D8" s="34">
        <f>+'WET sin flujo'!U46*1000</f>
        <v>312.8725</v>
      </c>
      <c r="E8" s="37">
        <f>+'WEe sin flujo'!U23*1000</f>
        <v>265.14249999999998</v>
      </c>
      <c r="F8" s="37">
        <f>+'WEe sin flujo'!U46*1000</f>
        <v>273.47500000000002</v>
      </c>
      <c r="G8" s="37">
        <f t="shared" ref="G8:H11" si="0">+C8-E8</f>
        <v>60.832500000000039</v>
      </c>
      <c r="H8" s="37">
        <f t="shared" si="0"/>
        <v>39.39749999999998</v>
      </c>
      <c r="I8" s="64"/>
      <c r="J8" s="12"/>
      <c r="K8" s="12"/>
      <c r="L8" s="12">
        <v>322</v>
      </c>
      <c r="M8" s="44"/>
      <c r="N8" s="13">
        <v>1.1000000000000001</v>
      </c>
      <c r="O8" s="13">
        <v>0.9</v>
      </c>
      <c r="P8" s="29">
        <f t="shared" ref="P8:P27" si="1">(K8-E8)-(G8-H8)-(N8*(L8-F8))</f>
        <v>-339.95500000000004</v>
      </c>
      <c r="Q8" s="29">
        <f t="shared" ref="Q8:Q27" si="2">(K8-E8)-(O8*(G8/H8)*(L8-F8))</f>
        <v>-332.57589948600804</v>
      </c>
      <c r="R8" s="15">
        <v>432</v>
      </c>
      <c r="S8" s="16">
        <f t="shared" ref="S8:S13" si="3">+P8/R8*1000</f>
        <v>-786.93287037037055</v>
      </c>
      <c r="T8" s="16">
        <f t="shared" ref="T8:T13" si="4">+Q8/R8*1000</f>
        <v>-769.85161918057418</v>
      </c>
      <c r="V8" s="12" t="s">
        <v>26</v>
      </c>
      <c r="W8" s="1" t="s">
        <v>36</v>
      </c>
      <c r="X8" s="12" t="s">
        <v>35</v>
      </c>
    </row>
    <row r="9" spans="1:24" ht="15.75" thickBot="1" x14ac:dyDescent="0.3">
      <c r="A9" s="137"/>
      <c r="B9" s="23" t="s">
        <v>21</v>
      </c>
      <c r="C9" s="35">
        <f>0.34675*1000</f>
        <v>346.75</v>
      </c>
      <c r="D9" s="35">
        <f>0.313125*1000</f>
        <v>313.125</v>
      </c>
      <c r="E9" s="38">
        <f>+E8</f>
        <v>265.14249999999998</v>
      </c>
      <c r="F9" s="38">
        <f>+F8</f>
        <v>273.47500000000002</v>
      </c>
      <c r="G9" s="38">
        <f t="shared" si="0"/>
        <v>81.607500000000016</v>
      </c>
      <c r="H9" s="37">
        <f t="shared" si="0"/>
        <v>39.649999999999977</v>
      </c>
      <c r="I9" s="65"/>
      <c r="J9" s="18"/>
      <c r="K9" s="18"/>
      <c r="L9" s="18">
        <f>+L8</f>
        <v>322</v>
      </c>
      <c r="M9" s="45"/>
      <c r="N9" s="19">
        <v>1.1000000000000001</v>
      </c>
      <c r="O9" s="19">
        <v>0.9</v>
      </c>
      <c r="P9" s="30">
        <f t="shared" si="1"/>
        <v>-360.47750000000002</v>
      </c>
      <c r="Q9" s="30">
        <f t="shared" si="2"/>
        <v>-355.02909631147543</v>
      </c>
      <c r="R9" s="20">
        <f>+R8</f>
        <v>432</v>
      </c>
      <c r="S9" s="16">
        <f t="shared" si="3"/>
        <v>-834.43865740740739</v>
      </c>
      <c r="T9" s="16">
        <f t="shared" si="4"/>
        <v>-821.82661183211906</v>
      </c>
      <c r="V9" s="1">
        <v>261</v>
      </c>
      <c r="W9" s="1" t="str">
        <f>+WET_4!AA288</f>
        <v xml:space="preserve"> </v>
      </c>
      <c r="X9" s="1" t="e">
        <f>+W9*V9</f>
        <v>#VALUE!</v>
      </c>
    </row>
    <row r="10" spans="1:24" ht="15.75" thickBot="1" x14ac:dyDescent="0.3">
      <c r="A10" s="136">
        <v>2</v>
      </c>
      <c r="B10" s="24" t="s">
        <v>6</v>
      </c>
      <c r="C10" s="36">
        <f>WET_2!X76</f>
        <v>319.93618421052628</v>
      </c>
      <c r="D10" s="36">
        <f>+WET_2!X36</f>
        <v>306.34144736842109</v>
      </c>
      <c r="E10" s="39">
        <f>+E8</f>
        <v>265.14249999999998</v>
      </c>
      <c r="F10" s="39">
        <f>+F8</f>
        <v>273.47500000000002</v>
      </c>
      <c r="G10" s="39">
        <f t="shared" si="0"/>
        <v>54.793684210526294</v>
      </c>
      <c r="H10" s="39">
        <f t="shared" si="0"/>
        <v>32.866447368421063</v>
      </c>
      <c r="I10" s="66"/>
      <c r="J10" s="25"/>
      <c r="K10" s="18"/>
      <c r="L10" s="25">
        <f>+L8</f>
        <v>322</v>
      </c>
      <c r="M10" s="46"/>
      <c r="N10" s="26">
        <v>1.1000000000000001</v>
      </c>
      <c r="O10" s="26">
        <v>0.9</v>
      </c>
      <c r="P10" s="31">
        <f t="shared" si="1"/>
        <v>-340.44723684210521</v>
      </c>
      <c r="Q10" s="31">
        <f t="shared" si="2"/>
        <v>-337.95162192485526</v>
      </c>
      <c r="R10" s="27">
        <v>432</v>
      </c>
      <c r="S10" s="16">
        <f t="shared" si="3"/>
        <v>-788.07230750487327</v>
      </c>
      <c r="T10" s="16">
        <f t="shared" si="4"/>
        <v>-782.29542112235015</v>
      </c>
    </row>
    <row r="11" spans="1:24" ht="15.75" thickBot="1" x14ac:dyDescent="0.3">
      <c r="A11" s="137"/>
      <c r="B11" s="23" t="s">
        <v>21</v>
      </c>
      <c r="C11" s="35">
        <f>WET_2!X157</f>
        <v>334.16874999999999</v>
      </c>
      <c r="D11" s="35">
        <f>WET_2!X117</f>
        <v>305.89309210526312</v>
      </c>
      <c r="E11" s="38">
        <f>+E8</f>
        <v>265.14249999999998</v>
      </c>
      <c r="F11" s="38">
        <f>+F8</f>
        <v>273.47500000000002</v>
      </c>
      <c r="G11" s="38">
        <f t="shared" si="0"/>
        <v>69.026250000000005</v>
      </c>
      <c r="H11" s="38">
        <f t="shared" si="0"/>
        <v>32.418092105263099</v>
      </c>
      <c r="I11" s="67"/>
      <c r="J11" s="18"/>
      <c r="K11" s="18"/>
      <c r="L11" s="18">
        <f>+L10</f>
        <v>322</v>
      </c>
      <c r="M11" s="45"/>
      <c r="N11" s="19">
        <v>1.1000000000000001</v>
      </c>
      <c r="O11" s="19">
        <v>0.9</v>
      </c>
      <c r="P11" s="30">
        <f t="shared" si="1"/>
        <v>-355.12815789473689</v>
      </c>
      <c r="Q11" s="30">
        <f t="shared" si="2"/>
        <v>-358.13220751692029</v>
      </c>
      <c r="R11" s="20">
        <v>432</v>
      </c>
      <c r="S11" s="16">
        <f t="shared" si="3"/>
        <v>-822.05592105263167</v>
      </c>
      <c r="T11" s="16">
        <f t="shared" si="4"/>
        <v>-829.00973962250066</v>
      </c>
      <c r="V11" s="10" t="s">
        <v>12</v>
      </c>
    </row>
    <row r="12" spans="1:24" ht="15.75" thickBot="1" x14ac:dyDescent="0.3">
      <c r="A12" s="136">
        <v>3</v>
      </c>
      <c r="B12" s="24" t="s">
        <v>6</v>
      </c>
      <c r="C12" s="36">
        <f>+WET_3!X68</f>
        <v>306.08991935483874</v>
      </c>
      <c r="D12" s="36">
        <f>+WET_3!X32</f>
        <v>298.07943548387101</v>
      </c>
      <c r="E12" s="39">
        <f>+E10</f>
        <v>265.14249999999998</v>
      </c>
      <c r="F12" s="39">
        <f>+F10</f>
        <v>273.47500000000002</v>
      </c>
      <c r="G12" s="39">
        <f t="shared" ref="G12:G13" si="5">+C12-E12</f>
        <v>40.947419354838757</v>
      </c>
      <c r="H12" s="39">
        <f t="shared" ref="H12:H13" si="6">+D12-F12</f>
        <v>24.604435483870986</v>
      </c>
      <c r="I12" s="66"/>
      <c r="J12" s="25"/>
      <c r="K12" s="18"/>
      <c r="L12" s="25">
        <f>+L10</f>
        <v>322</v>
      </c>
      <c r="M12" s="46"/>
      <c r="N12" s="26">
        <v>1.1000000000000001</v>
      </c>
      <c r="O12" s="26">
        <v>0.9</v>
      </c>
      <c r="P12" s="31">
        <f t="shared" si="1"/>
        <v>-334.86298387096775</v>
      </c>
      <c r="Q12" s="31">
        <f t="shared" si="2"/>
        <v>-337.82354862419902</v>
      </c>
      <c r="R12" s="27">
        <v>432</v>
      </c>
      <c r="S12" s="16">
        <f t="shared" si="3"/>
        <v>-775.14579599761055</v>
      </c>
      <c r="T12" s="16">
        <f t="shared" si="4"/>
        <v>-781.99895514860884</v>
      </c>
      <c r="V12" s="10" t="s">
        <v>13</v>
      </c>
    </row>
    <row r="13" spans="1:24" ht="15.75" thickBot="1" x14ac:dyDescent="0.3">
      <c r="A13" s="137"/>
      <c r="B13" s="23" t="s">
        <v>21</v>
      </c>
      <c r="C13" s="35">
        <f>+WET_3!X141</f>
        <v>316.44717741935489</v>
      </c>
      <c r="D13" s="35">
        <f>+WET_3!X105</f>
        <v>297.28790322580647</v>
      </c>
      <c r="E13" s="38">
        <f>+E10</f>
        <v>265.14249999999998</v>
      </c>
      <c r="F13" s="38">
        <f>+F10</f>
        <v>273.47500000000002</v>
      </c>
      <c r="G13" s="38">
        <f t="shared" si="5"/>
        <v>51.304677419354903</v>
      </c>
      <c r="H13" s="38">
        <f t="shared" si="6"/>
        <v>23.812903225806451</v>
      </c>
      <c r="I13" s="67"/>
      <c r="J13" s="18"/>
      <c r="K13" s="18"/>
      <c r="L13" s="18">
        <f>+L12</f>
        <v>322</v>
      </c>
      <c r="M13" s="45"/>
      <c r="N13" s="19">
        <v>1.1000000000000001</v>
      </c>
      <c r="O13" s="19">
        <v>0.9</v>
      </c>
      <c r="P13" s="30">
        <f t="shared" si="1"/>
        <v>-346.01177419354843</v>
      </c>
      <c r="Q13" s="30">
        <f t="shared" si="2"/>
        <v>-359.23449304050399</v>
      </c>
      <c r="R13" s="20">
        <v>432</v>
      </c>
      <c r="S13" s="16">
        <f t="shared" si="3"/>
        <v>-800.9531810035844</v>
      </c>
      <c r="T13" s="16">
        <f t="shared" si="4"/>
        <v>-831.56132648264816</v>
      </c>
      <c r="V13" s="10" t="s">
        <v>14</v>
      </c>
    </row>
    <row r="14" spans="1:24" ht="15.75" thickBot="1" x14ac:dyDescent="0.3">
      <c r="A14" s="136">
        <v>4</v>
      </c>
      <c r="B14" s="24" t="s">
        <v>6</v>
      </c>
      <c r="C14" s="36">
        <f>+WET_4!Y116</f>
        <v>314.86727272727268</v>
      </c>
      <c r="D14" s="36">
        <f>+WET_4!Y56</f>
        <v>303.46379631377704</v>
      </c>
      <c r="E14" s="39">
        <f>+E12</f>
        <v>265.14249999999998</v>
      </c>
      <c r="F14" s="39">
        <f>+F12</f>
        <v>273.47500000000002</v>
      </c>
      <c r="G14" s="39">
        <f t="shared" ref="G14:G15" si="7">+C14-E14</f>
        <v>49.724772727272693</v>
      </c>
      <c r="H14" s="39">
        <f t="shared" ref="H14:H15" si="8">+D14-F14</f>
        <v>29.988796313777016</v>
      </c>
      <c r="I14" s="66"/>
      <c r="J14" s="25"/>
      <c r="K14" s="18"/>
      <c r="L14" s="25">
        <f>+L12</f>
        <v>322</v>
      </c>
      <c r="M14" s="46"/>
      <c r="N14" s="26">
        <v>1</v>
      </c>
      <c r="O14" s="26">
        <v>1</v>
      </c>
      <c r="P14" s="31">
        <f t="shared" si="1"/>
        <v>-333.40347641349564</v>
      </c>
      <c r="Q14" s="31">
        <f t="shared" si="2"/>
        <v>-345.60236812356351</v>
      </c>
      <c r="R14" s="27">
        <v>432</v>
      </c>
      <c r="S14" s="16">
        <f t="shared" ref="S14:S15" si="9">+P14/R14*1000</f>
        <v>-771.76730651272146</v>
      </c>
      <c r="T14" s="16">
        <f t="shared" ref="T14:T15" si="10">+Q14/R14*1000</f>
        <v>-800.00548176750806</v>
      </c>
      <c r="V14" s="10" t="s">
        <v>15</v>
      </c>
    </row>
    <row r="15" spans="1:24" ht="15.75" thickBot="1" x14ac:dyDescent="0.3">
      <c r="A15" s="137"/>
      <c r="B15" s="23" t="s">
        <v>21</v>
      </c>
      <c r="C15" s="35">
        <f>+WET_4!Y237</f>
        <v>320.81484375000002</v>
      </c>
      <c r="D15" s="35">
        <f>+WET_4!Y176</f>
        <v>302.90451388888886</v>
      </c>
      <c r="E15" s="38">
        <f>+E12</f>
        <v>265.14249999999998</v>
      </c>
      <c r="F15" s="38">
        <f>+F12</f>
        <v>273.47500000000002</v>
      </c>
      <c r="G15" s="38">
        <f t="shared" si="7"/>
        <v>55.672343750000039</v>
      </c>
      <c r="H15" s="38">
        <f t="shared" si="8"/>
        <v>29.429513888888835</v>
      </c>
      <c r="I15" s="67"/>
      <c r="J15" s="18"/>
      <c r="K15" s="18"/>
      <c r="L15" s="18">
        <f>+L14</f>
        <v>322</v>
      </c>
      <c r="M15" s="45"/>
      <c r="N15" s="19">
        <v>1</v>
      </c>
      <c r="O15" s="19">
        <v>1</v>
      </c>
      <c r="P15" s="30">
        <f t="shared" si="1"/>
        <v>-339.91032986111117</v>
      </c>
      <c r="Q15" s="30">
        <f t="shared" si="2"/>
        <v>-356.93812022900784</v>
      </c>
      <c r="R15" s="20">
        <v>432</v>
      </c>
      <c r="S15" s="16">
        <f t="shared" si="9"/>
        <v>-786.82946727109072</v>
      </c>
      <c r="T15" s="16">
        <f t="shared" si="10"/>
        <v>-826.24564867825893</v>
      </c>
      <c r="V15" s="10" t="s">
        <v>16</v>
      </c>
    </row>
    <row r="16" spans="1:24" ht="15.75" thickBot="1" x14ac:dyDescent="0.3">
      <c r="A16" s="136"/>
      <c r="B16" s="24" t="s">
        <v>6</v>
      </c>
      <c r="C16" s="36">
        <f>+WET_4!Y118</f>
        <v>0</v>
      </c>
      <c r="D16" s="36">
        <f>+WET_4!Y58</f>
        <v>0</v>
      </c>
      <c r="E16" s="39">
        <f>+E14</f>
        <v>265.14249999999998</v>
      </c>
      <c r="F16" s="39">
        <f>+F14</f>
        <v>273.47500000000002</v>
      </c>
      <c r="G16" s="39">
        <f t="shared" ref="G16:G17" si="11">+C16-E16</f>
        <v>-265.14249999999998</v>
      </c>
      <c r="H16" s="39">
        <f t="shared" ref="H16:H17" si="12">+D16-F16</f>
        <v>-273.47500000000002</v>
      </c>
      <c r="I16" s="66"/>
      <c r="J16" s="25"/>
      <c r="K16" s="18"/>
      <c r="L16" s="25">
        <f>+L14</f>
        <v>322</v>
      </c>
      <c r="M16" s="46"/>
      <c r="N16" s="26">
        <v>1</v>
      </c>
      <c r="O16" s="26">
        <v>1</v>
      </c>
      <c r="P16" s="31">
        <f t="shared" si="1"/>
        <v>-322</v>
      </c>
      <c r="Q16" s="31">
        <f t="shared" si="2"/>
        <v>-312.18899350946151</v>
      </c>
      <c r="R16" s="27">
        <v>432</v>
      </c>
      <c r="S16" s="16">
        <f t="shared" ref="S16:S17" si="13">+P16/R16*1000</f>
        <v>-745.37037037037032</v>
      </c>
      <c r="T16" s="16">
        <f t="shared" ref="T16:T17" si="14">+Q16/R16*1000</f>
        <v>-722.65970719782763</v>
      </c>
      <c r="V16" s="10" t="s">
        <v>17</v>
      </c>
    </row>
    <row r="17" spans="1:24" ht="15.75" thickBot="1" x14ac:dyDescent="0.3">
      <c r="A17" s="137"/>
      <c r="B17" s="23" t="s">
        <v>21</v>
      </c>
      <c r="C17" s="35">
        <f>+WET_4!Y239</f>
        <v>0</v>
      </c>
      <c r="D17" s="35">
        <f>+WET_4!Y178</f>
        <v>0</v>
      </c>
      <c r="E17" s="38">
        <f>+E14</f>
        <v>265.14249999999998</v>
      </c>
      <c r="F17" s="38">
        <f>+F14</f>
        <v>273.47500000000002</v>
      </c>
      <c r="G17" s="38">
        <f t="shared" si="11"/>
        <v>-265.14249999999998</v>
      </c>
      <c r="H17" s="38">
        <f t="shared" si="12"/>
        <v>-273.47500000000002</v>
      </c>
      <c r="I17" s="67"/>
      <c r="J17" s="18"/>
      <c r="K17" s="18"/>
      <c r="L17" s="18">
        <f>+L16</f>
        <v>322</v>
      </c>
      <c r="M17" s="45"/>
      <c r="N17" s="19">
        <v>1</v>
      </c>
      <c r="O17" s="19">
        <v>1</v>
      </c>
      <c r="P17" s="30">
        <f t="shared" si="1"/>
        <v>-322</v>
      </c>
      <c r="Q17" s="30">
        <f t="shared" si="2"/>
        <v>-312.18899350946151</v>
      </c>
      <c r="R17" s="20">
        <v>432</v>
      </c>
      <c r="S17" s="16">
        <f t="shared" si="13"/>
        <v>-745.37037037037032</v>
      </c>
      <c r="T17" s="16">
        <f t="shared" si="14"/>
        <v>-722.65970719782763</v>
      </c>
      <c r="V17" s="10" t="s">
        <v>18</v>
      </c>
    </row>
    <row r="18" spans="1:24" ht="15.75" thickBot="1" x14ac:dyDescent="0.3">
      <c r="A18" s="136">
        <v>5</v>
      </c>
      <c r="B18" s="24" t="s">
        <v>6</v>
      </c>
      <c r="C18" s="86">
        <v>337.6</v>
      </c>
      <c r="D18" s="86">
        <v>320</v>
      </c>
      <c r="E18" s="39">
        <f>+E14</f>
        <v>265.14249999999998</v>
      </c>
      <c r="F18" s="39">
        <f>+F14</f>
        <v>273.47500000000002</v>
      </c>
      <c r="G18" s="39">
        <f t="shared" ref="G18:G19" si="15">+C18-E18</f>
        <v>72.457500000000039</v>
      </c>
      <c r="H18" s="39">
        <f t="shared" ref="H18:H19" si="16">+D18-F18</f>
        <v>46.524999999999977</v>
      </c>
      <c r="I18" s="66"/>
      <c r="J18" s="25"/>
      <c r="K18" s="18"/>
      <c r="L18" s="25">
        <f>+L14</f>
        <v>322</v>
      </c>
      <c r="M18" s="46"/>
      <c r="N18" s="26">
        <v>1</v>
      </c>
      <c r="O18" s="26">
        <v>1</v>
      </c>
      <c r="P18" s="31">
        <f t="shared" si="1"/>
        <v>-339.6</v>
      </c>
      <c r="Q18" s="31">
        <f t="shared" si="2"/>
        <v>-340.71477700161205</v>
      </c>
      <c r="R18" s="27">
        <v>432</v>
      </c>
      <c r="S18" s="16">
        <f t="shared" ref="S18:S19" si="17">+P18/R18*1000</f>
        <v>-786.1111111111112</v>
      </c>
      <c r="T18" s="16">
        <f t="shared" ref="T18:T19" si="18">+Q18/R18*1000</f>
        <v>-788.69161342965754</v>
      </c>
      <c r="V18" s="10" t="s">
        <v>19</v>
      </c>
    </row>
    <row r="19" spans="1:24" ht="15.75" thickBot="1" x14ac:dyDescent="0.3">
      <c r="A19" s="137"/>
      <c r="B19" s="23" t="s">
        <v>85</v>
      </c>
      <c r="C19" s="87">
        <v>271.60000000000002</v>
      </c>
      <c r="D19" s="87">
        <v>322</v>
      </c>
      <c r="E19" s="38">
        <f>+E14</f>
        <v>265.14249999999998</v>
      </c>
      <c r="F19" s="38">
        <f>+F14</f>
        <v>273.47500000000002</v>
      </c>
      <c r="G19" s="38">
        <f t="shared" si="15"/>
        <v>6.4575000000000387</v>
      </c>
      <c r="H19" s="38">
        <f t="shared" si="16"/>
        <v>48.524999999999977</v>
      </c>
      <c r="I19" s="67"/>
      <c r="J19" s="18"/>
      <c r="K19" s="18"/>
      <c r="L19" s="18">
        <f>+L18</f>
        <v>322</v>
      </c>
      <c r="M19" s="45"/>
      <c r="N19" s="19">
        <v>1</v>
      </c>
      <c r="O19" s="19">
        <v>1</v>
      </c>
      <c r="P19" s="30">
        <f t="shared" si="1"/>
        <v>-271.60000000000002</v>
      </c>
      <c r="Q19" s="30">
        <f t="shared" si="2"/>
        <v>-271.60000000000002</v>
      </c>
      <c r="R19" s="20">
        <v>432</v>
      </c>
      <c r="S19" s="16">
        <f t="shared" si="17"/>
        <v>-628.70370370370381</v>
      </c>
      <c r="T19" s="16">
        <f t="shared" si="18"/>
        <v>-628.70370370370381</v>
      </c>
      <c r="V19" s="10" t="s">
        <v>20</v>
      </c>
    </row>
    <row r="20" spans="1:24" ht="15.75" thickBot="1" x14ac:dyDescent="0.3">
      <c r="A20" s="136">
        <v>5</v>
      </c>
      <c r="B20" s="24" t="s">
        <v>6</v>
      </c>
      <c r="C20" s="86">
        <v>337.6</v>
      </c>
      <c r="D20" s="86">
        <v>320</v>
      </c>
      <c r="E20" s="39">
        <f>+E16</f>
        <v>265.14249999999998</v>
      </c>
      <c r="F20" s="39">
        <f>+F16</f>
        <v>273.47500000000002</v>
      </c>
      <c r="G20" s="39">
        <f t="shared" ref="G20:G21" si="19">+C20-E20</f>
        <v>72.457500000000039</v>
      </c>
      <c r="H20" s="39">
        <f t="shared" ref="H20:H21" si="20">+D20-F20</f>
        <v>46.524999999999977</v>
      </c>
      <c r="I20" s="66"/>
      <c r="J20" s="25"/>
      <c r="K20" s="47"/>
      <c r="L20" s="25">
        <f>+L16</f>
        <v>322</v>
      </c>
      <c r="M20" s="46"/>
      <c r="N20" s="26">
        <v>1.1000000000000001</v>
      </c>
      <c r="O20" s="26">
        <v>0.9</v>
      </c>
      <c r="P20" s="31">
        <f t="shared" si="1"/>
        <v>-344.45250000000004</v>
      </c>
      <c r="Q20" s="31">
        <f t="shared" si="2"/>
        <v>-333.15754930145084</v>
      </c>
      <c r="R20" s="27">
        <v>432</v>
      </c>
      <c r="S20" s="16">
        <f t="shared" ref="S20:S21" si="21">+P20/R20*1000</f>
        <v>-797.34375000000011</v>
      </c>
      <c r="T20" s="16">
        <f t="shared" ref="T20:T21" si="22">+Q20/R20*1000</f>
        <v>-771.19803079039548</v>
      </c>
    </row>
    <row r="21" spans="1:24" ht="15.75" thickBot="1" x14ac:dyDescent="0.3">
      <c r="A21" s="137"/>
      <c r="B21" s="23" t="s">
        <v>85</v>
      </c>
      <c r="C21" s="87" t="e">
        <f>+C19*W9</f>
        <v>#VALUE!</v>
      </c>
      <c r="D21" s="87">
        <v>322</v>
      </c>
      <c r="E21" s="38">
        <f>+E16</f>
        <v>265.14249999999998</v>
      </c>
      <c r="F21" s="38">
        <f>+F16</f>
        <v>273.47500000000002</v>
      </c>
      <c r="G21" s="38" t="e">
        <f t="shared" si="19"/>
        <v>#VALUE!</v>
      </c>
      <c r="H21" s="38">
        <f t="shared" si="20"/>
        <v>48.524999999999977</v>
      </c>
      <c r="I21" s="67"/>
      <c r="J21" s="18"/>
      <c r="K21" s="18"/>
      <c r="L21" s="18">
        <f>+L20</f>
        <v>322</v>
      </c>
      <c r="M21" s="45"/>
      <c r="N21" s="19">
        <v>1.1000000000000001</v>
      </c>
      <c r="O21" s="19">
        <v>0.9</v>
      </c>
      <c r="P21" s="30" t="e">
        <f t="shared" si="1"/>
        <v>#VALUE!</v>
      </c>
      <c r="Q21" s="30" t="e">
        <f t="shared" si="2"/>
        <v>#VALUE!</v>
      </c>
      <c r="R21" s="20">
        <v>432</v>
      </c>
      <c r="S21" s="16" t="e">
        <f t="shared" si="21"/>
        <v>#VALUE!</v>
      </c>
      <c r="T21" s="16" t="e">
        <f t="shared" si="22"/>
        <v>#VALUE!</v>
      </c>
      <c r="V21" s="3" t="s">
        <v>30</v>
      </c>
      <c r="W21" s="3"/>
      <c r="X21" s="3"/>
    </row>
    <row r="22" spans="1:24" ht="15.75" thickBot="1" x14ac:dyDescent="0.3">
      <c r="A22" s="136">
        <v>6</v>
      </c>
      <c r="B22" s="24"/>
      <c r="C22" s="86">
        <f>+WET_4!Y286</f>
        <v>315.20625000000001</v>
      </c>
      <c r="D22" s="86">
        <f>+WET_4!Y287</f>
        <v>305.86250000000001</v>
      </c>
      <c r="E22" s="39">
        <f>+E18</f>
        <v>265.14249999999998</v>
      </c>
      <c r="F22" s="39">
        <f>+F18</f>
        <v>273.47500000000002</v>
      </c>
      <c r="G22" s="39">
        <f t="shared" ref="G22:G23" si="23">+C22-E22</f>
        <v>50.063750000000027</v>
      </c>
      <c r="H22" s="39">
        <f t="shared" ref="H22:H23" si="24">+D22-F22</f>
        <v>32.387499999999989</v>
      </c>
      <c r="I22" s="66">
        <v>274</v>
      </c>
      <c r="J22" s="60" t="str">
        <f>+W9</f>
        <v xml:space="preserve"> </v>
      </c>
      <c r="K22" s="59" t="e">
        <f>I22*J22</f>
        <v>#VALUE!</v>
      </c>
      <c r="L22" s="60">
        <v>306.95</v>
      </c>
      <c r="M22" s="46">
        <v>37</v>
      </c>
      <c r="N22" s="26">
        <v>1.1499999999999999</v>
      </c>
      <c r="O22" s="26">
        <v>0.9</v>
      </c>
      <c r="P22" s="31" t="e">
        <f t="shared" si="1"/>
        <v>#VALUE!</v>
      </c>
      <c r="Q22" s="31" t="e">
        <f t="shared" si="2"/>
        <v>#VALUE!</v>
      </c>
      <c r="R22" s="27">
        <v>432</v>
      </c>
      <c r="S22" s="16" t="e">
        <f t="shared" ref="S22:S23" si="25">+P22/R22*1000</f>
        <v>#VALUE!</v>
      </c>
      <c r="T22" s="16" t="e">
        <f t="shared" ref="T22:T23" si="26">+Q22/R22*1000</f>
        <v>#VALUE!</v>
      </c>
      <c r="V22" s="3"/>
      <c r="W22" s="3"/>
      <c r="X22" s="3"/>
    </row>
    <row r="23" spans="1:24" ht="15.75" thickBot="1" x14ac:dyDescent="0.3">
      <c r="A23" s="137"/>
      <c r="B23" s="23"/>
      <c r="C23" s="87">
        <f>+C22</f>
        <v>315.20625000000001</v>
      </c>
      <c r="D23" s="87">
        <v>305.89999999999998</v>
      </c>
      <c r="E23" s="38">
        <f>+E18</f>
        <v>265.14249999999998</v>
      </c>
      <c r="F23" s="38">
        <f>+F18</f>
        <v>273.47500000000002</v>
      </c>
      <c r="G23" s="38">
        <f t="shared" si="23"/>
        <v>50.063750000000027</v>
      </c>
      <c r="H23" s="38">
        <f t="shared" si="24"/>
        <v>32.424999999999955</v>
      </c>
      <c r="I23" s="67">
        <v>261</v>
      </c>
      <c r="J23" s="61">
        <v>1.1479003072721066</v>
      </c>
      <c r="K23" s="59">
        <f t="shared" ref="K23:K27" si="27">I23*J23</f>
        <v>299.60198019801982</v>
      </c>
      <c r="L23" s="61">
        <v>305.64</v>
      </c>
      <c r="M23" s="45">
        <v>37</v>
      </c>
      <c r="N23" s="19">
        <v>1.1000000000000001</v>
      </c>
      <c r="O23" s="19">
        <v>0.9</v>
      </c>
      <c r="P23" s="30">
        <f t="shared" si="1"/>
        <v>-18.5607698019802</v>
      </c>
      <c r="Q23" s="30">
        <f t="shared" si="2"/>
        <v>-10.236602049474421</v>
      </c>
      <c r="R23" s="20">
        <v>432</v>
      </c>
      <c r="S23" s="16">
        <f t="shared" si="25"/>
        <v>-42.964744911991204</v>
      </c>
      <c r="T23" s="16">
        <f t="shared" si="26"/>
        <v>-23.695838077487082</v>
      </c>
      <c r="V23" s="3"/>
      <c r="W23" s="3"/>
      <c r="X23" s="3"/>
    </row>
    <row r="24" spans="1:24" ht="15.75" thickBot="1" x14ac:dyDescent="0.3">
      <c r="A24" s="136">
        <v>7</v>
      </c>
      <c r="B24" s="24"/>
      <c r="C24" s="86">
        <f>+WET_4!Y291</f>
        <v>312.57499999999999</v>
      </c>
      <c r="D24" s="87">
        <f>+WET_4!Y292</f>
        <v>303.52499999999998</v>
      </c>
      <c r="E24" s="39">
        <f>+E20</f>
        <v>265.14249999999998</v>
      </c>
      <c r="F24" s="39">
        <f>+F20</f>
        <v>273.47500000000002</v>
      </c>
      <c r="G24" s="39">
        <f t="shared" ref="G24:G25" si="28">+C24-E24</f>
        <v>47.432500000000005</v>
      </c>
      <c r="H24" s="39">
        <f t="shared" ref="H24:H25" si="29">+D24-F24</f>
        <v>30.049999999999955</v>
      </c>
      <c r="I24" s="66">
        <v>274</v>
      </c>
      <c r="J24" s="60">
        <v>1.1977200881310468</v>
      </c>
      <c r="K24" s="59">
        <f t="shared" si="27"/>
        <v>328.17530414790684</v>
      </c>
      <c r="L24" s="60">
        <v>306.95</v>
      </c>
      <c r="M24" s="46">
        <v>37</v>
      </c>
      <c r="N24" s="26">
        <v>1.1000000000000001</v>
      </c>
      <c r="O24" s="26">
        <v>0.9</v>
      </c>
      <c r="P24" s="31">
        <f t="shared" si="1"/>
        <v>8.8278041479068463</v>
      </c>
      <c r="Q24" s="31">
        <f t="shared" si="2"/>
        <v>15.477974073031618</v>
      </c>
      <c r="R24" s="27">
        <v>432</v>
      </c>
      <c r="S24" s="16">
        <f t="shared" ref="S24:S25" si="30">+P24/R24*1000</f>
        <v>20.434731823858442</v>
      </c>
      <c r="T24" s="16">
        <f t="shared" ref="T24:T25" si="31">+Q24/R24*1000</f>
        <v>35.828643687573184</v>
      </c>
      <c r="V24" s="3"/>
      <c r="W24" s="3"/>
      <c r="X24" s="3"/>
    </row>
    <row r="25" spans="1:24" ht="15.75" thickBot="1" x14ac:dyDescent="0.3">
      <c r="A25" s="137"/>
      <c r="B25" s="23"/>
      <c r="C25" s="87">
        <f>+C24</f>
        <v>312.57499999999999</v>
      </c>
      <c r="D25" s="87">
        <f>+D24</f>
        <v>303.52499999999998</v>
      </c>
      <c r="E25" s="38">
        <f>+E20</f>
        <v>265.14249999999998</v>
      </c>
      <c r="F25" s="38">
        <f>+F20</f>
        <v>273.47500000000002</v>
      </c>
      <c r="G25" s="38">
        <f t="shared" si="28"/>
        <v>47.432500000000005</v>
      </c>
      <c r="H25" s="38">
        <f t="shared" si="29"/>
        <v>30.049999999999955</v>
      </c>
      <c r="I25" s="67">
        <v>261</v>
      </c>
      <c r="J25" s="61">
        <v>1.1977200881310468</v>
      </c>
      <c r="K25" s="59">
        <f t="shared" si="27"/>
        <v>312.60494300220324</v>
      </c>
      <c r="L25" s="61">
        <v>305.64</v>
      </c>
      <c r="M25" s="45">
        <v>37</v>
      </c>
      <c r="N25" s="19">
        <v>1.1000000000000001</v>
      </c>
      <c r="O25" s="19">
        <v>0.9</v>
      </c>
      <c r="P25" s="30">
        <f t="shared" si="1"/>
        <v>-5.3015569977967516</v>
      </c>
      <c r="Q25" s="30">
        <f t="shared" si="2"/>
        <v>1.7686085180102182</v>
      </c>
      <c r="R25" s="20">
        <v>432</v>
      </c>
      <c r="S25" s="16">
        <f t="shared" si="30"/>
        <v>-12.272122680085074</v>
      </c>
      <c r="T25" s="16">
        <f t="shared" si="31"/>
        <v>4.0940011990977281</v>
      </c>
      <c r="V25" s="3" t="s">
        <v>31</v>
      </c>
      <c r="W25" s="3"/>
      <c r="X25" s="3"/>
    </row>
    <row r="26" spans="1:24" ht="15.75" thickBot="1" x14ac:dyDescent="0.3">
      <c r="A26" s="136">
        <v>8</v>
      </c>
      <c r="B26" s="24"/>
      <c r="C26" s="86">
        <f>+WET_4!Y251</f>
        <v>337.56875000000002</v>
      </c>
      <c r="D26" s="87">
        <f>+WET_4!Y252</f>
        <v>320.03125</v>
      </c>
      <c r="E26" s="39">
        <f>+E22</f>
        <v>265.14249999999998</v>
      </c>
      <c r="F26" s="39">
        <f>+F22</f>
        <v>273.47500000000002</v>
      </c>
      <c r="G26" s="39">
        <f t="shared" ref="G26:G27" si="32">+C26-E26</f>
        <v>72.426250000000039</v>
      </c>
      <c r="H26" s="39">
        <f t="shared" ref="H26:H27" si="33">+D26-F26</f>
        <v>46.556249999999977</v>
      </c>
      <c r="I26" s="66">
        <v>274</v>
      </c>
      <c r="J26" s="60">
        <f>+WET_4!AA253</f>
        <v>1.2428607589111076</v>
      </c>
      <c r="K26" s="59">
        <f t="shared" si="27"/>
        <v>340.54384794164349</v>
      </c>
      <c r="L26" s="60">
        <v>306.95</v>
      </c>
      <c r="M26" s="46">
        <v>37</v>
      </c>
      <c r="N26" s="26">
        <v>1.1000000000000001</v>
      </c>
      <c r="O26" s="26">
        <v>0.9</v>
      </c>
      <c r="P26" s="31">
        <f t="shared" si="1"/>
        <v>12.708847941643484</v>
      </c>
      <c r="Q26" s="31">
        <f t="shared" si="2"/>
        <v>28.532842706041414</v>
      </c>
      <c r="R26" s="27">
        <v>432</v>
      </c>
      <c r="S26" s="16">
        <f t="shared" ref="S26:S27" si="34">+P26/R26*1000</f>
        <v>29.418629494545101</v>
      </c>
      <c r="T26" s="16">
        <f t="shared" ref="T26:T27" si="35">+Q26/R26*1000</f>
        <v>66.048247004725496</v>
      </c>
      <c r="V26" s="3"/>
      <c r="W26" s="3"/>
      <c r="X26" s="3"/>
    </row>
    <row r="27" spans="1:24" ht="15.75" thickBot="1" x14ac:dyDescent="0.3">
      <c r="A27" s="137"/>
      <c r="B27" s="23"/>
      <c r="C27" s="87">
        <f>+C26</f>
        <v>337.56875000000002</v>
      </c>
      <c r="D27" s="87">
        <f>+D26</f>
        <v>320.03125</v>
      </c>
      <c r="E27" s="38">
        <f>+E22</f>
        <v>265.14249999999998</v>
      </c>
      <c r="F27" s="38">
        <f>+F22</f>
        <v>273.47500000000002</v>
      </c>
      <c r="G27" s="38">
        <f t="shared" si="32"/>
        <v>72.426250000000039</v>
      </c>
      <c r="H27" s="38">
        <f t="shared" si="33"/>
        <v>46.556249999999977</v>
      </c>
      <c r="I27" s="67">
        <v>261</v>
      </c>
      <c r="J27" s="61">
        <f>+J26</f>
        <v>1.2428607589111076</v>
      </c>
      <c r="K27" s="59">
        <f t="shared" si="27"/>
        <v>324.38665807579906</v>
      </c>
      <c r="L27" s="61">
        <v>305.64</v>
      </c>
      <c r="M27" s="45">
        <v>37</v>
      </c>
      <c r="N27" s="19">
        <v>1.1000000000000001</v>
      </c>
      <c r="O27" s="19">
        <v>0.9</v>
      </c>
      <c r="P27" s="30">
        <f t="shared" si="1"/>
        <v>-2.0073419242009436</v>
      </c>
      <c r="Q27" s="30">
        <f t="shared" si="2"/>
        <v>14.209790012971858</v>
      </c>
      <c r="R27" s="20">
        <v>432</v>
      </c>
      <c r="S27" s="16">
        <f t="shared" si="34"/>
        <v>-4.646624824539221</v>
      </c>
      <c r="T27" s="16">
        <f t="shared" si="35"/>
        <v>32.893032437434854</v>
      </c>
    </row>
    <row r="28" spans="1:24" ht="15.75" thickBot="1" x14ac:dyDescent="0.3"/>
    <row r="29" spans="1:24" ht="15.75" thickBot="1" x14ac:dyDescent="0.3">
      <c r="A29" s="136">
        <v>9</v>
      </c>
      <c r="B29" s="24" t="s">
        <v>95</v>
      </c>
      <c r="C29" s="84">
        <f>+WET_ensayo!Z11</f>
        <v>324.29218750000001</v>
      </c>
      <c r="D29" s="85">
        <f>+WET_ensayo!Z12</f>
        <v>312.09843749999999</v>
      </c>
      <c r="E29" s="39">
        <f>+E25</f>
        <v>265.14249999999998</v>
      </c>
      <c r="F29" s="39">
        <f>+F25</f>
        <v>273.47500000000002</v>
      </c>
      <c r="G29" s="39">
        <f t="shared" ref="G29:G30" si="36">+C29-E29</f>
        <v>59.149687500000027</v>
      </c>
      <c r="H29" s="39">
        <f t="shared" ref="H29:H30" si="37">+D29-F29</f>
        <v>38.623437499999966</v>
      </c>
      <c r="I29" s="79">
        <v>272</v>
      </c>
      <c r="J29" s="81">
        <f>+WET_ensayo!Z47</f>
        <v>1.2265791215545365</v>
      </c>
      <c r="K29" s="82">
        <f t="shared" ref="K29:K30" si="38">I29*J29</f>
        <v>333.62952106283393</v>
      </c>
      <c r="L29" s="60">
        <v>316.10000000000002</v>
      </c>
      <c r="M29" s="46">
        <v>37</v>
      </c>
      <c r="N29" s="26">
        <v>1.1000000000000001</v>
      </c>
      <c r="O29" s="26">
        <v>0.9</v>
      </c>
      <c r="P29" s="31">
        <f t="shared" ref="P29:P30" si="39">(K29-E29)-(G29-H29)-(N29*(L29-F29))</f>
        <v>1.0732710628338822</v>
      </c>
      <c r="Q29" s="31">
        <f t="shared" ref="Q29:Q30" si="40">(K29-E29)-(O29*(G29/H29)*(L29-F29))</f>
        <v>9.7369451091140533</v>
      </c>
      <c r="R29" s="27">
        <v>432</v>
      </c>
      <c r="S29" s="16">
        <f t="shared" ref="S29:S30" si="41">+P29/R29*1000</f>
        <v>2.4844237565599121</v>
      </c>
      <c r="T29" s="48">
        <f t="shared" ref="T29:T30" si="42">+Q29/R29*1000</f>
        <v>22.539224789615865</v>
      </c>
    </row>
    <row r="30" spans="1:24" ht="15.75" thickBot="1" x14ac:dyDescent="0.3">
      <c r="A30" s="137"/>
      <c r="B30" s="23" t="s">
        <v>96</v>
      </c>
      <c r="C30" s="85">
        <f>+C29</f>
        <v>324.29218750000001</v>
      </c>
      <c r="D30" s="85">
        <f>+D29</f>
        <v>312.09843749999999</v>
      </c>
      <c r="E30" s="38">
        <f>+E25</f>
        <v>265.14249999999998</v>
      </c>
      <c r="F30" s="38">
        <f>+F25</f>
        <v>273.47500000000002</v>
      </c>
      <c r="G30" s="38">
        <f t="shared" si="36"/>
        <v>59.149687500000027</v>
      </c>
      <c r="H30" s="38">
        <f t="shared" si="37"/>
        <v>38.623437499999966</v>
      </c>
      <c r="I30" s="80">
        <v>265</v>
      </c>
      <c r="J30" s="83">
        <f>+J29</f>
        <v>1.2265791215545365</v>
      </c>
      <c r="K30" s="82">
        <f t="shared" si="38"/>
        <v>325.04346721195219</v>
      </c>
      <c r="L30" s="61">
        <v>315.7</v>
      </c>
      <c r="M30" s="45">
        <v>37</v>
      </c>
      <c r="N30" s="19">
        <v>1.1000000000000001</v>
      </c>
      <c r="O30" s="19">
        <v>0.9</v>
      </c>
      <c r="P30" s="30">
        <f t="shared" si="39"/>
        <v>-7.0727827880478245</v>
      </c>
      <c r="Q30" s="30">
        <f t="shared" si="40"/>
        <v>1.7022116190883878</v>
      </c>
      <c r="R30" s="20">
        <v>432</v>
      </c>
      <c r="S30" s="16">
        <f t="shared" si="41"/>
        <v>-16.372182379740334</v>
      </c>
      <c r="T30" s="48">
        <f t="shared" si="42"/>
        <v>3.9403046738157128</v>
      </c>
    </row>
    <row r="31" spans="1:24" ht="15.75" thickBot="1" x14ac:dyDescent="0.3">
      <c r="B31" t="s">
        <v>97</v>
      </c>
    </row>
    <row r="32" spans="1:24" ht="15.75" thickBot="1" x14ac:dyDescent="0.3">
      <c r="A32" s="136">
        <v>10</v>
      </c>
      <c r="B32" s="88" t="s">
        <v>95</v>
      </c>
      <c r="C32" s="84">
        <v>314.8</v>
      </c>
      <c r="D32" s="85">
        <v>309.89999999999998</v>
      </c>
      <c r="E32" s="39">
        <v>265.14249999999998</v>
      </c>
      <c r="F32" s="39">
        <v>273.47500000000002</v>
      </c>
      <c r="G32" s="39">
        <f t="shared" ref="G32:G33" si="43">+C32-E32</f>
        <v>49.657500000000027</v>
      </c>
      <c r="H32" s="39">
        <f t="shared" ref="H32:H33" si="44">+D32-F32</f>
        <v>36.424999999999955</v>
      </c>
      <c r="I32" s="79">
        <v>308.5</v>
      </c>
      <c r="J32" s="81">
        <v>1.0461038306451613</v>
      </c>
      <c r="K32" s="82">
        <f t="shared" ref="K32:K33" si="45">I32*J32</f>
        <v>322.72303175403226</v>
      </c>
      <c r="L32" s="60">
        <v>313.5</v>
      </c>
      <c r="M32" s="46">
        <v>37</v>
      </c>
      <c r="N32" s="26">
        <v>1.1000000000000001</v>
      </c>
      <c r="O32" s="26">
        <v>0.9</v>
      </c>
      <c r="P32" s="31">
        <f t="shared" ref="P32:P33" si="46">(K32-E32)-(G32-H32)-(N32*(L32-F32))</f>
        <v>0.32053175403222411</v>
      </c>
      <c r="Q32" s="31">
        <f t="shared" ref="Q32:Q33" si="47">(K32-E32)-(O32*(G32/H32)*(L32-F32))</f>
        <v>8.4717522413348902</v>
      </c>
      <c r="R32" s="27">
        <v>432</v>
      </c>
      <c r="S32" s="16">
        <f t="shared" ref="S32:S33" si="48">+P32/R32*1000</f>
        <v>0.74197165285237054</v>
      </c>
      <c r="T32" s="48">
        <f t="shared" ref="T32:T33" si="49">+Q32/R32*1000</f>
        <v>19.610537595682615</v>
      </c>
    </row>
    <row r="33" spans="1:20" ht="15.75" thickBot="1" x14ac:dyDescent="0.3">
      <c r="A33" s="137"/>
      <c r="B33" s="89" t="s">
        <v>96</v>
      </c>
      <c r="C33" s="85">
        <v>314.8</v>
      </c>
      <c r="D33" s="85">
        <v>309.89999999999998</v>
      </c>
      <c r="E33" s="38">
        <v>265.14249999999998</v>
      </c>
      <c r="F33" s="38">
        <v>273.47500000000002</v>
      </c>
      <c r="G33" s="38">
        <f t="shared" si="43"/>
        <v>49.657500000000027</v>
      </c>
      <c r="H33" s="38">
        <f t="shared" si="44"/>
        <v>36.424999999999955</v>
      </c>
      <c r="I33" s="80">
        <v>309.5</v>
      </c>
      <c r="J33" s="83">
        <v>1.04610383064516</v>
      </c>
      <c r="K33" s="82">
        <f t="shared" si="45"/>
        <v>323.76913558467703</v>
      </c>
      <c r="L33" s="61">
        <v>311.5</v>
      </c>
      <c r="M33" s="45">
        <v>37</v>
      </c>
      <c r="N33" s="19">
        <v>1.1000000000000001</v>
      </c>
      <c r="O33" s="19">
        <v>0.9</v>
      </c>
      <c r="P33" s="30">
        <f t="shared" si="46"/>
        <v>3.5666355846769946</v>
      </c>
      <c r="Q33" s="30">
        <f t="shared" si="47"/>
        <v>11.971761356811513</v>
      </c>
      <c r="R33" s="20">
        <v>432</v>
      </c>
      <c r="S33" s="16">
        <f t="shared" si="48"/>
        <v>8.2561008904560058</v>
      </c>
      <c r="T33" s="48">
        <f t="shared" si="49"/>
        <v>27.712410548174798</v>
      </c>
    </row>
    <row r="253" spans="28:28" x14ac:dyDescent="0.25">
      <c r="AB253" t="e">
        <f>+Z251/Z253</f>
        <v>#DIV/0!</v>
      </c>
    </row>
    <row r="260" spans="28:28" x14ac:dyDescent="0.25">
      <c r="AB260" t="e">
        <f>+Z258/Z260</f>
        <v>#DIV/0!</v>
      </c>
    </row>
    <row r="278" spans="28:28" x14ac:dyDescent="0.25">
      <c r="AB278" t="e">
        <f>+Z276/Z278</f>
        <v>#DIV/0!</v>
      </c>
    </row>
    <row r="288" spans="28:28" x14ac:dyDescent="0.25">
      <c r="AB288" t="e">
        <f>+Z286/Z288</f>
        <v>#DIV/0!</v>
      </c>
    </row>
    <row r="293" spans="28:28" x14ac:dyDescent="0.25">
      <c r="AB293" t="e">
        <f>+Z291/Z293</f>
        <v>#DIV/0!</v>
      </c>
    </row>
  </sheetData>
  <mergeCells count="13">
    <mergeCell ref="A32:A33"/>
    <mergeCell ref="A29:A30"/>
    <mergeCell ref="V7:X7"/>
    <mergeCell ref="A8:A9"/>
    <mergeCell ref="A10:A11"/>
    <mergeCell ref="A12:A13"/>
    <mergeCell ref="A18:A19"/>
    <mergeCell ref="A16:A17"/>
    <mergeCell ref="A26:A27"/>
    <mergeCell ref="A20:A21"/>
    <mergeCell ref="A14:A15"/>
    <mergeCell ref="A22:A23"/>
    <mergeCell ref="A24:A25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969D4-0113-4762-93F8-A9F8583BB23F}">
  <dimension ref="A2:AA80"/>
  <sheetViews>
    <sheetView topLeftCell="A16" workbookViewId="0">
      <selection activeCell="Z47" sqref="Z47"/>
    </sheetView>
  </sheetViews>
  <sheetFormatPr baseColWidth="10" defaultRowHeight="15" x14ac:dyDescent="0.25"/>
  <cols>
    <col min="1" max="1" width="4" bestFit="1" customWidth="1"/>
    <col min="2" max="2" width="4.85546875" customWidth="1"/>
    <col min="3" max="3" width="5.28515625" customWidth="1"/>
    <col min="4" max="23" width="8.85546875" customWidth="1"/>
  </cols>
  <sheetData>
    <row r="2" spans="1:26" ht="15.75" thickBot="1" x14ac:dyDescent="0.3">
      <c r="A2" s="139" t="s">
        <v>89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</row>
    <row r="3" spans="1:26" ht="15.75" thickTop="1" x14ac:dyDescent="0.25">
      <c r="A3">
        <v>120</v>
      </c>
      <c r="B3">
        <v>0</v>
      </c>
      <c r="C3" t="s">
        <v>40</v>
      </c>
      <c r="D3">
        <v>324.75</v>
      </c>
      <c r="E3">
        <v>325</v>
      </c>
      <c r="F3">
        <v>324.375</v>
      </c>
      <c r="G3">
        <v>324.875</v>
      </c>
      <c r="H3">
        <v>324.375</v>
      </c>
      <c r="I3">
        <v>327</v>
      </c>
      <c r="J3">
        <v>326.25</v>
      </c>
      <c r="K3">
        <v>326.125</v>
      </c>
      <c r="L3">
        <v>323.5</v>
      </c>
      <c r="M3">
        <v>324.625</v>
      </c>
      <c r="N3">
        <v>322.5</v>
      </c>
      <c r="O3">
        <v>323.25</v>
      </c>
      <c r="P3">
        <v>325.25</v>
      </c>
      <c r="Q3">
        <v>323.25</v>
      </c>
      <c r="R3">
        <v>324.5</v>
      </c>
      <c r="S3">
        <v>324.875</v>
      </c>
      <c r="T3">
        <v>323.375</v>
      </c>
      <c r="U3">
        <v>324.875</v>
      </c>
      <c r="V3">
        <v>327.875</v>
      </c>
      <c r="W3">
        <v>326.625</v>
      </c>
      <c r="X3" s="73">
        <f>AVERAGE(D3:W3)</f>
        <v>324.86250000000001</v>
      </c>
    </row>
    <row r="4" spans="1:26" x14ac:dyDescent="0.25">
      <c r="A4">
        <v>120</v>
      </c>
      <c r="B4">
        <v>0</v>
      </c>
      <c r="C4" t="s">
        <v>41</v>
      </c>
      <c r="D4">
        <v>315.125</v>
      </c>
      <c r="E4">
        <v>312.125</v>
      </c>
      <c r="F4">
        <v>311.375</v>
      </c>
      <c r="G4">
        <v>312.625</v>
      </c>
      <c r="H4">
        <v>312.75</v>
      </c>
      <c r="I4">
        <v>312.875</v>
      </c>
      <c r="J4">
        <v>313</v>
      </c>
      <c r="K4">
        <v>312.5</v>
      </c>
      <c r="L4">
        <v>314.25</v>
      </c>
      <c r="M4">
        <v>313</v>
      </c>
      <c r="N4">
        <v>311.625</v>
      </c>
      <c r="O4">
        <v>310.875</v>
      </c>
      <c r="P4">
        <v>312.375</v>
      </c>
      <c r="Q4">
        <v>311.375</v>
      </c>
      <c r="R4">
        <v>310.875</v>
      </c>
      <c r="S4">
        <v>311.875</v>
      </c>
      <c r="T4">
        <v>314.625</v>
      </c>
      <c r="U4">
        <v>311.25</v>
      </c>
      <c r="V4">
        <v>313.125</v>
      </c>
      <c r="W4">
        <v>313.75</v>
      </c>
      <c r="X4" s="69">
        <f t="shared" ref="X4:X6" si="0">AVERAGE(D4:W4)</f>
        <v>312.56875000000002</v>
      </c>
    </row>
    <row r="5" spans="1:26" x14ac:dyDescent="0.25">
      <c r="A5">
        <v>120</v>
      </c>
      <c r="B5">
        <v>1</v>
      </c>
      <c r="C5" t="s">
        <v>40</v>
      </c>
      <c r="D5">
        <v>354.625</v>
      </c>
      <c r="E5">
        <v>354.625</v>
      </c>
      <c r="F5">
        <v>354.875</v>
      </c>
      <c r="G5">
        <v>356.25</v>
      </c>
      <c r="H5">
        <v>355.375</v>
      </c>
      <c r="I5">
        <v>354.875</v>
      </c>
      <c r="J5">
        <v>355.5</v>
      </c>
      <c r="K5">
        <v>354.625</v>
      </c>
      <c r="L5">
        <v>353.75</v>
      </c>
      <c r="M5">
        <v>351.75</v>
      </c>
      <c r="N5">
        <v>354.875</v>
      </c>
      <c r="O5">
        <v>353.75</v>
      </c>
      <c r="P5">
        <v>352.25</v>
      </c>
      <c r="Q5">
        <v>352.375</v>
      </c>
      <c r="R5">
        <v>350.375</v>
      </c>
      <c r="S5">
        <v>350.875</v>
      </c>
      <c r="T5">
        <v>351.625</v>
      </c>
      <c r="U5">
        <v>353.375</v>
      </c>
      <c r="V5">
        <v>350</v>
      </c>
      <c r="W5">
        <v>352</v>
      </c>
      <c r="X5" s="68">
        <f t="shared" si="0"/>
        <v>353.38749999999999</v>
      </c>
    </row>
    <row r="6" spans="1:26" x14ac:dyDescent="0.25">
      <c r="A6">
        <v>120</v>
      </c>
      <c r="B6">
        <v>1</v>
      </c>
      <c r="C6" t="s">
        <v>41</v>
      </c>
      <c r="D6">
        <v>308.375</v>
      </c>
      <c r="E6">
        <v>310</v>
      </c>
      <c r="F6">
        <v>310</v>
      </c>
      <c r="G6">
        <v>309.625</v>
      </c>
      <c r="H6">
        <v>310.75</v>
      </c>
      <c r="I6">
        <v>309.875</v>
      </c>
      <c r="J6">
        <v>312.75</v>
      </c>
      <c r="K6">
        <v>312</v>
      </c>
      <c r="L6">
        <v>311.375</v>
      </c>
      <c r="M6">
        <v>309.75</v>
      </c>
      <c r="N6">
        <v>311.75</v>
      </c>
      <c r="O6">
        <v>311</v>
      </c>
      <c r="P6">
        <v>310.5</v>
      </c>
      <c r="Q6">
        <v>310.75</v>
      </c>
      <c r="R6">
        <v>310.625</v>
      </c>
      <c r="S6">
        <v>310</v>
      </c>
      <c r="T6">
        <v>311.5</v>
      </c>
      <c r="U6">
        <v>311.25</v>
      </c>
      <c r="V6">
        <v>310.25</v>
      </c>
      <c r="W6">
        <v>312</v>
      </c>
      <c r="X6" s="69">
        <f t="shared" si="0"/>
        <v>310.70625000000001</v>
      </c>
    </row>
    <row r="8" spans="1:26" x14ac:dyDescent="0.25">
      <c r="A8">
        <v>130</v>
      </c>
      <c r="B8">
        <v>0</v>
      </c>
      <c r="C8" t="s">
        <v>40</v>
      </c>
      <c r="D8">
        <v>324.25</v>
      </c>
      <c r="E8">
        <v>322.75</v>
      </c>
      <c r="F8">
        <v>325.125</v>
      </c>
      <c r="G8">
        <v>323.125</v>
      </c>
      <c r="H8">
        <v>324.125</v>
      </c>
      <c r="I8">
        <v>323.25</v>
      </c>
      <c r="J8">
        <v>323</v>
      </c>
      <c r="K8">
        <v>323</v>
      </c>
      <c r="L8">
        <v>322.375</v>
      </c>
      <c r="M8">
        <v>323.25</v>
      </c>
      <c r="N8">
        <v>322.625</v>
      </c>
      <c r="O8">
        <v>323.25</v>
      </c>
      <c r="P8">
        <v>321.125</v>
      </c>
      <c r="Q8">
        <v>323.5</v>
      </c>
      <c r="R8">
        <v>323.125</v>
      </c>
      <c r="S8">
        <v>324.5</v>
      </c>
      <c r="T8">
        <v>327.875</v>
      </c>
      <c r="U8">
        <v>324.625</v>
      </c>
      <c r="V8">
        <v>323.875</v>
      </c>
      <c r="W8">
        <v>325.125</v>
      </c>
      <c r="X8" s="68">
        <f>AVERAGE(D8:W8)</f>
        <v>323.69375000000002</v>
      </c>
      <c r="Y8" s="57"/>
    </row>
    <row r="9" spans="1:26" x14ac:dyDescent="0.25">
      <c r="A9">
        <v>130</v>
      </c>
      <c r="B9">
        <v>0</v>
      </c>
      <c r="C9" t="s">
        <v>41</v>
      </c>
      <c r="D9">
        <v>311.875</v>
      </c>
      <c r="E9">
        <v>312</v>
      </c>
      <c r="F9">
        <v>311.875</v>
      </c>
      <c r="G9">
        <v>311.75</v>
      </c>
      <c r="H9">
        <v>312.625</v>
      </c>
      <c r="I9">
        <v>311.625</v>
      </c>
      <c r="J9">
        <v>311.375</v>
      </c>
      <c r="K9">
        <v>313</v>
      </c>
      <c r="L9">
        <v>310.875</v>
      </c>
      <c r="M9">
        <v>309.125</v>
      </c>
      <c r="N9">
        <v>310.75</v>
      </c>
      <c r="O9">
        <v>310.75</v>
      </c>
      <c r="P9">
        <v>311.125</v>
      </c>
      <c r="Q9">
        <v>310.125</v>
      </c>
      <c r="R9">
        <v>312.375</v>
      </c>
      <c r="S9">
        <v>312.375</v>
      </c>
      <c r="T9">
        <v>315.5</v>
      </c>
      <c r="U9">
        <v>314</v>
      </c>
      <c r="V9">
        <v>313</v>
      </c>
      <c r="W9">
        <v>312</v>
      </c>
      <c r="X9" s="69">
        <f t="shared" ref="X9:X11" si="1">AVERAGE(D9:W9)</f>
        <v>311.90625</v>
      </c>
      <c r="Y9" s="57"/>
    </row>
    <row r="10" spans="1:26" x14ac:dyDescent="0.25">
      <c r="A10">
        <v>130</v>
      </c>
      <c r="B10">
        <v>1</v>
      </c>
      <c r="C10" t="s">
        <v>40</v>
      </c>
      <c r="D10">
        <v>356.75</v>
      </c>
      <c r="E10">
        <v>354.75</v>
      </c>
      <c r="F10">
        <v>354</v>
      </c>
      <c r="G10">
        <v>354.25</v>
      </c>
      <c r="H10">
        <v>354</v>
      </c>
      <c r="I10">
        <v>353.5</v>
      </c>
      <c r="J10">
        <v>351.125</v>
      </c>
      <c r="K10">
        <v>350.875</v>
      </c>
      <c r="L10">
        <v>352.75</v>
      </c>
      <c r="M10">
        <v>352.875</v>
      </c>
      <c r="N10">
        <v>351.625</v>
      </c>
      <c r="O10">
        <v>353.125</v>
      </c>
      <c r="P10">
        <v>351.875</v>
      </c>
      <c r="Q10">
        <v>352.875</v>
      </c>
      <c r="R10">
        <v>351.875</v>
      </c>
      <c r="S10">
        <v>352.625</v>
      </c>
      <c r="T10">
        <v>350.125</v>
      </c>
      <c r="U10">
        <v>349.75</v>
      </c>
      <c r="V10">
        <v>348.125</v>
      </c>
      <c r="W10">
        <v>350.875</v>
      </c>
      <c r="X10" s="68">
        <f t="shared" si="1"/>
        <v>352.38749999999999</v>
      </c>
      <c r="Y10" s="57"/>
    </row>
    <row r="11" spans="1:26" x14ac:dyDescent="0.25">
      <c r="A11">
        <v>130</v>
      </c>
      <c r="B11">
        <v>1</v>
      </c>
      <c r="C11" t="s">
        <v>41</v>
      </c>
      <c r="D11">
        <v>309.875</v>
      </c>
      <c r="E11">
        <v>309.375</v>
      </c>
      <c r="F11">
        <v>307.75</v>
      </c>
      <c r="G11">
        <v>308.75</v>
      </c>
      <c r="H11">
        <v>310</v>
      </c>
      <c r="I11">
        <v>310.5</v>
      </c>
      <c r="J11">
        <v>307.75</v>
      </c>
      <c r="K11">
        <v>310.375</v>
      </c>
      <c r="L11">
        <v>311.375</v>
      </c>
      <c r="M11">
        <v>309.625</v>
      </c>
      <c r="N11">
        <v>309</v>
      </c>
      <c r="O11">
        <v>309.75</v>
      </c>
      <c r="P11">
        <v>311</v>
      </c>
      <c r="Q11">
        <v>310.375</v>
      </c>
      <c r="R11">
        <v>309.25</v>
      </c>
      <c r="S11">
        <v>311.375</v>
      </c>
      <c r="T11">
        <v>309.25</v>
      </c>
      <c r="U11">
        <v>309.75</v>
      </c>
      <c r="V11">
        <v>308.375</v>
      </c>
      <c r="W11">
        <v>309.75</v>
      </c>
      <c r="X11" s="69">
        <f t="shared" si="1"/>
        <v>309.66250000000002</v>
      </c>
      <c r="Y11" s="57"/>
      <c r="Z11" s="68">
        <f>AVERAGE(X3,X8,X13,X18)</f>
        <v>324.29218750000001</v>
      </c>
    </row>
    <row r="12" spans="1:26" x14ac:dyDescent="0.25">
      <c r="Z12" s="69">
        <f>AVERAGE(X4,X9,X14,X19)</f>
        <v>312.09843749999999</v>
      </c>
    </row>
    <row r="13" spans="1:26" x14ac:dyDescent="0.25">
      <c r="A13">
        <v>140</v>
      </c>
      <c r="B13">
        <v>0</v>
      </c>
      <c r="C13" t="s">
        <v>40</v>
      </c>
      <c r="D13">
        <v>325.875</v>
      </c>
      <c r="E13">
        <v>325</v>
      </c>
      <c r="F13">
        <v>324.75</v>
      </c>
      <c r="G13">
        <v>321.75</v>
      </c>
      <c r="H13">
        <v>322.5</v>
      </c>
      <c r="I13">
        <v>323.25</v>
      </c>
      <c r="J13">
        <v>322.25</v>
      </c>
      <c r="K13">
        <v>322.625</v>
      </c>
      <c r="L13">
        <v>322.125</v>
      </c>
      <c r="M13">
        <v>324</v>
      </c>
      <c r="N13">
        <v>324.5</v>
      </c>
      <c r="O13">
        <v>324.125</v>
      </c>
      <c r="P13">
        <v>325.125</v>
      </c>
      <c r="Q13">
        <v>326.75</v>
      </c>
      <c r="R13">
        <v>325.875</v>
      </c>
      <c r="S13">
        <v>325.875</v>
      </c>
      <c r="T13">
        <v>325.375</v>
      </c>
      <c r="U13">
        <v>325</v>
      </c>
      <c r="V13">
        <v>324</v>
      </c>
      <c r="W13">
        <v>323.125</v>
      </c>
      <c r="X13" s="68">
        <f>AVERAGE(D13:W13)</f>
        <v>324.19375000000002</v>
      </c>
      <c r="Y13" s="57"/>
      <c r="Z13" s="68">
        <f>AVERAGE(X5,X10,X15,X20)</f>
        <v>353.69687499999998</v>
      </c>
    </row>
    <row r="14" spans="1:26" x14ac:dyDescent="0.25">
      <c r="A14">
        <v>140</v>
      </c>
      <c r="B14">
        <v>0</v>
      </c>
      <c r="C14" t="s">
        <v>41</v>
      </c>
      <c r="D14">
        <v>313.375</v>
      </c>
      <c r="E14">
        <v>312.75</v>
      </c>
      <c r="F14">
        <v>311.75</v>
      </c>
      <c r="G14">
        <v>311.125</v>
      </c>
      <c r="H14">
        <v>311</v>
      </c>
      <c r="I14">
        <v>310.5</v>
      </c>
      <c r="J14">
        <v>312.125</v>
      </c>
      <c r="K14">
        <v>310.75</v>
      </c>
      <c r="L14">
        <v>309.125</v>
      </c>
      <c r="M14">
        <v>310</v>
      </c>
      <c r="N14">
        <v>311.625</v>
      </c>
      <c r="O14">
        <v>312.875</v>
      </c>
      <c r="P14">
        <v>314</v>
      </c>
      <c r="Q14">
        <v>313.125</v>
      </c>
      <c r="R14">
        <v>313.875</v>
      </c>
      <c r="S14">
        <v>310.75</v>
      </c>
      <c r="T14">
        <v>312.25</v>
      </c>
      <c r="U14">
        <v>312.25</v>
      </c>
      <c r="V14">
        <v>310.875</v>
      </c>
      <c r="W14">
        <v>313.375</v>
      </c>
      <c r="X14" s="69">
        <f t="shared" ref="X14:X16" si="2">AVERAGE(D14:W14)</f>
        <v>311.875</v>
      </c>
      <c r="Y14" s="57"/>
      <c r="Z14" s="69">
        <f>AVERAGE(X6,X11,X16,X21)</f>
        <v>310.39687500000002</v>
      </c>
    </row>
    <row r="15" spans="1:26" x14ac:dyDescent="0.25">
      <c r="A15">
        <v>140</v>
      </c>
      <c r="B15">
        <v>1</v>
      </c>
      <c r="C15" t="s">
        <v>40</v>
      </c>
      <c r="D15">
        <v>358.75</v>
      </c>
      <c r="E15">
        <v>358.25</v>
      </c>
      <c r="F15">
        <v>354.75</v>
      </c>
      <c r="G15">
        <v>356.125</v>
      </c>
      <c r="H15">
        <v>353.75</v>
      </c>
      <c r="I15">
        <v>356.125</v>
      </c>
      <c r="J15">
        <v>353.25</v>
      </c>
      <c r="K15">
        <v>354.625</v>
      </c>
      <c r="L15">
        <v>352.5</v>
      </c>
      <c r="M15">
        <v>351.75</v>
      </c>
      <c r="N15">
        <v>355.375</v>
      </c>
      <c r="O15">
        <v>353.125</v>
      </c>
      <c r="P15">
        <v>352</v>
      </c>
      <c r="Q15">
        <v>352.5</v>
      </c>
      <c r="R15">
        <v>352</v>
      </c>
      <c r="S15">
        <v>353.375</v>
      </c>
      <c r="T15">
        <v>352.375</v>
      </c>
      <c r="U15">
        <v>352.25</v>
      </c>
      <c r="V15">
        <v>352.375</v>
      </c>
      <c r="W15">
        <v>351.875</v>
      </c>
      <c r="X15" s="68">
        <f t="shared" si="2"/>
        <v>353.85624999999999</v>
      </c>
      <c r="Y15" s="57"/>
    </row>
    <row r="16" spans="1:26" x14ac:dyDescent="0.25">
      <c r="A16">
        <v>140</v>
      </c>
      <c r="B16">
        <v>1</v>
      </c>
      <c r="C16" t="s">
        <v>41</v>
      </c>
      <c r="D16">
        <v>309.75</v>
      </c>
      <c r="E16">
        <v>308.625</v>
      </c>
      <c r="F16">
        <v>311.375</v>
      </c>
      <c r="G16">
        <v>310.25</v>
      </c>
      <c r="H16">
        <v>309.125</v>
      </c>
      <c r="I16">
        <v>310</v>
      </c>
      <c r="J16">
        <v>309.5</v>
      </c>
      <c r="K16">
        <v>310.875</v>
      </c>
      <c r="L16">
        <v>311.25</v>
      </c>
      <c r="M16">
        <v>310</v>
      </c>
      <c r="N16">
        <v>312.25</v>
      </c>
      <c r="O16">
        <v>311.375</v>
      </c>
      <c r="P16">
        <v>310.125</v>
      </c>
      <c r="Q16">
        <v>311.125</v>
      </c>
      <c r="R16">
        <v>310.5</v>
      </c>
      <c r="S16">
        <v>310.375</v>
      </c>
      <c r="T16">
        <v>309.5</v>
      </c>
      <c r="U16">
        <v>310.625</v>
      </c>
      <c r="V16">
        <v>310.625</v>
      </c>
      <c r="W16">
        <v>311.75</v>
      </c>
      <c r="X16" s="69">
        <f t="shared" si="2"/>
        <v>310.45</v>
      </c>
      <c r="Y16" s="57"/>
    </row>
    <row r="18" spans="1:26" x14ac:dyDescent="0.25">
      <c r="A18">
        <v>150</v>
      </c>
      <c r="B18">
        <v>0</v>
      </c>
      <c r="C18" t="s">
        <v>40</v>
      </c>
      <c r="D18">
        <v>326.25</v>
      </c>
      <c r="E18">
        <v>325.75</v>
      </c>
      <c r="F18">
        <v>325</v>
      </c>
      <c r="G18">
        <v>322.875</v>
      </c>
      <c r="H18">
        <v>324.5</v>
      </c>
      <c r="I18">
        <v>323.5</v>
      </c>
      <c r="J18">
        <v>323.5</v>
      </c>
      <c r="K18">
        <v>324.75</v>
      </c>
      <c r="L18">
        <v>324</v>
      </c>
      <c r="M18">
        <v>322.375</v>
      </c>
      <c r="N18">
        <v>322.625</v>
      </c>
      <c r="O18">
        <v>323.875</v>
      </c>
      <c r="P18">
        <v>324.375</v>
      </c>
      <c r="Q18">
        <v>323.5</v>
      </c>
      <c r="R18">
        <v>323.125</v>
      </c>
      <c r="S18">
        <v>325.5</v>
      </c>
      <c r="T18">
        <v>325.25</v>
      </c>
      <c r="U18">
        <v>326.625</v>
      </c>
      <c r="V18">
        <v>325.75</v>
      </c>
      <c r="W18">
        <v>325.25</v>
      </c>
      <c r="X18" s="68">
        <f>AVERAGE(D18:W18)</f>
        <v>324.41874999999999</v>
      </c>
      <c r="Y18" s="57"/>
    </row>
    <row r="19" spans="1:26" x14ac:dyDescent="0.25">
      <c r="A19">
        <v>150</v>
      </c>
      <c r="B19">
        <v>0</v>
      </c>
      <c r="C19" t="s">
        <v>41</v>
      </c>
      <c r="D19">
        <v>315.125</v>
      </c>
      <c r="E19">
        <v>309.875</v>
      </c>
      <c r="F19">
        <v>312.375</v>
      </c>
      <c r="G19">
        <v>311.25</v>
      </c>
      <c r="H19">
        <v>311.5</v>
      </c>
      <c r="I19">
        <v>312</v>
      </c>
      <c r="J19">
        <v>312</v>
      </c>
      <c r="K19">
        <v>311</v>
      </c>
      <c r="L19">
        <v>311.875</v>
      </c>
      <c r="M19">
        <v>312.25</v>
      </c>
      <c r="N19">
        <v>311.75</v>
      </c>
      <c r="O19">
        <v>312.25</v>
      </c>
      <c r="P19">
        <v>310.125</v>
      </c>
      <c r="Q19">
        <v>311.125</v>
      </c>
      <c r="R19">
        <v>310.875</v>
      </c>
      <c r="S19">
        <v>313.25</v>
      </c>
      <c r="T19">
        <v>313.875</v>
      </c>
      <c r="U19">
        <v>314.25</v>
      </c>
      <c r="V19">
        <v>312.25</v>
      </c>
      <c r="W19">
        <v>311.875</v>
      </c>
      <c r="X19" s="69">
        <f t="shared" ref="X19:X21" si="3">AVERAGE(D19:W19)</f>
        <v>312.04374999999999</v>
      </c>
      <c r="Y19" s="57"/>
    </row>
    <row r="20" spans="1:26" x14ac:dyDescent="0.25">
      <c r="A20">
        <v>150</v>
      </c>
      <c r="B20">
        <v>1</v>
      </c>
      <c r="C20" t="s">
        <v>40</v>
      </c>
      <c r="D20">
        <v>358.125</v>
      </c>
      <c r="E20">
        <v>355.5</v>
      </c>
      <c r="F20">
        <v>359</v>
      </c>
      <c r="G20">
        <v>357.375</v>
      </c>
      <c r="H20">
        <v>357.125</v>
      </c>
      <c r="I20">
        <v>356.5</v>
      </c>
      <c r="J20">
        <v>356.375</v>
      </c>
      <c r="K20">
        <v>352.25</v>
      </c>
      <c r="L20">
        <v>352.75</v>
      </c>
      <c r="M20">
        <v>352.625</v>
      </c>
      <c r="N20">
        <v>352.5</v>
      </c>
      <c r="O20">
        <v>355.25</v>
      </c>
      <c r="P20">
        <v>354</v>
      </c>
      <c r="Q20">
        <v>352.75</v>
      </c>
      <c r="R20">
        <v>354.375</v>
      </c>
      <c r="S20">
        <v>354.25</v>
      </c>
      <c r="T20">
        <v>357.75</v>
      </c>
      <c r="U20">
        <v>353.125</v>
      </c>
      <c r="V20">
        <v>357</v>
      </c>
      <c r="W20">
        <v>354.5</v>
      </c>
      <c r="X20" s="68">
        <f t="shared" si="3"/>
        <v>355.15625</v>
      </c>
      <c r="Y20" s="57"/>
    </row>
    <row r="21" spans="1:26" x14ac:dyDescent="0.25">
      <c r="A21">
        <v>150</v>
      </c>
      <c r="B21">
        <v>1</v>
      </c>
      <c r="C21" t="s">
        <v>41</v>
      </c>
      <c r="D21">
        <v>309</v>
      </c>
      <c r="E21">
        <v>310.375</v>
      </c>
      <c r="F21">
        <v>310.5</v>
      </c>
      <c r="G21">
        <v>312.5</v>
      </c>
      <c r="H21">
        <v>312.125</v>
      </c>
      <c r="I21">
        <v>310.875</v>
      </c>
      <c r="J21">
        <v>311.125</v>
      </c>
      <c r="K21">
        <v>309.375</v>
      </c>
      <c r="L21">
        <v>310.625</v>
      </c>
      <c r="M21">
        <v>310.25</v>
      </c>
      <c r="N21">
        <v>311.5</v>
      </c>
      <c r="O21">
        <v>311.375</v>
      </c>
      <c r="P21">
        <v>311.75</v>
      </c>
      <c r="Q21">
        <v>309.25</v>
      </c>
      <c r="R21">
        <v>310.625</v>
      </c>
      <c r="S21">
        <v>309.625</v>
      </c>
      <c r="T21">
        <v>312.5</v>
      </c>
      <c r="U21">
        <v>309.375</v>
      </c>
      <c r="V21">
        <v>312.375</v>
      </c>
      <c r="W21">
        <v>310.25</v>
      </c>
      <c r="X21" s="69">
        <f t="shared" si="3"/>
        <v>310.76875000000001</v>
      </c>
      <c r="Y21" s="57"/>
    </row>
    <row r="22" spans="1:26" x14ac:dyDescent="0.25">
      <c r="X22" s="4"/>
      <c r="Y22" s="70"/>
    </row>
    <row r="23" spans="1:26" ht="15.75" thickBot="1" x14ac:dyDescent="0.3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71"/>
      <c r="Y23" s="72"/>
      <c r="Z23" s="51"/>
    </row>
    <row r="24" spans="1:26" x14ac:dyDescent="0.25">
      <c r="X24" s="4"/>
      <c r="Y24" s="57"/>
    </row>
    <row r="25" spans="1:26" ht="15.75" thickBot="1" x14ac:dyDescent="0.3">
      <c r="A25" s="139" t="s">
        <v>90</v>
      </c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</row>
    <row r="26" spans="1:26" ht="15.75" thickTop="1" x14ac:dyDescent="0.25">
      <c r="A26">
        <v>160</v>
      </c>
      <c r="B26">
        <v>0</v>
      </c>
      <c r="C26" t="s">
        <v>40</v>
      </c>
      <c r="D26">
        <v>323.625</v>
      </c>
      <c r="E26">
        <v>323.375</v>
      </c>
      <c r="F26">
        <v>320.625</v>
      </c>
      <c r="G26">
        <v>324.375</v>
      </c>
      <c r="H26">
        <v>323.25</v>
      </c>
      <c r="I26">
        <v>326.375</v>
      </c>
      <c r="J26">
        <v>325.125</v>
      </c>
      <c r="K26">
        <v>321.625</v>
      </c>
      <c r="L26">
        <v>322.75</v>
      </c>
      <c r="M26">
        <v>325</v>
      </c>
      <c r="N26">
        <v>322.5</v>
      </c>
      <c r="O26">
        <v>323.5</v>
      </c>
      <c r="P26">
        <v>322.125</v>
      </c>
      <c r="Q26">
        <v>322.75</v>
      </c>
      <c r="R26">
        <v>321.75</v>
      </c>
      <c r="S26">
        <v>324.625</v>
      </c>
      <c r="T26">
        <v>324.5</v>
      </c>
      <c r="U26">
        <v>325.125</v>
      </c>
      <c r="V26">
        <v>322.875</v>
      </c>
      <c r="W26">
        <v>322.875</v>
      </c>
      <c r="X26" s="68">
        <f>AVERAGE(D26:W26)</f>
        <v>323.4375</v>
      </c>
    </row>
    <row r="27" spans="1:26" x14ac:dyDescent="0.25">
      <c r="A27">
        <v>160</v>
      </c>
      <c r="B27">
        <v>0</v>
      </c>
      <c r="C27" t="s">
        <v>41</v>
      </c>
      <c r="D27">
        <v>311.125</v>
      </c>
      <c r="E27">
        <v>310.25</v>
      </c>
      <c r="F27">
        <v>310.875</v>
      </c>
      <c r="G27">
        <v>312.125</v>
      </c>
      <c r="H27">
        <v>313.875</v>
      </c>
      <c r="I27">
        <v>312.625</v>
      </c>
      <c r="J27">
        <v>312.875</v>
      </c>
      <c r="K27">
        <v>310.625</v>
      </c>
      <c r="L27">
        <v>308</v>
      </c>
      <c r="M27">
        <v>311.625</v>
      </c>
      <c r="N27">
        <v>310.625</v>
      </c>
      <c r="O27">
        <v>312.125</v>
      </c>
      <c r="P27">
        <v>311.375</v>
      </c>
      <c r="Q27">
        <v>309.625</v>
      </c>
      <c r="R27">
        <v>311.875</v>
      </c>
      <c r="S27">
        <v>314</v>
      </c>
      <c r="T27">
        <v>312.5</v>
      </c>
      <c r="U27">
        <v>312.625</v>
      </c>
      <c r="V27">
        <v>311.625</v>
      </c>
      <c r="W27">
        <v>310.125</v>
      </c>
      <c r="X27" s="69">
        <f t="shared" ref="X27:X29" si="4">AVERAGE(D27:W27)</f>
        <v>311.52499999999998</v>
      </c>
    </row>
    <row r="28" spans="1:26" x14ac:dyDescent="0.25">
      <c r="A28">
        <v>160</v>
      </c>
      <c r="B28">
        <v>1</v>
      </c>
      <c r="C28" t="s">
        <v>40</v>
      </c>
      <c r="D28">
        <v>146.75</v>
      </c>
      <c r="E28">
        <v>149</v>
      </c>
      <c r="F28">
        <v>154.875</v>
      </c>
      <c r="G28">
        <v>159.625</v>
      </c>
      <c r="H28">
        <v>164</v>
      </c>
      <c r="I28">
        <v>165.625</v>
      </c>
      <c r="J28">
        <v>169</v>
      </c>
      <c r="K28">
        <v>172.875</v>
      </c>
      <c r="L28">
        <v>172.75</v>
      </c>
      <c r="M28">
        <v>173.875</v>
      </c>
      <c r="N28">
        <v>179.375</v>
      </c>
      <c r="O28">
        <v>184.875</v>
      </c>
      <c r="P28">
        <v>184.125</v>
      </c>
      <c r="Q28">
        <v>186</v>
      </c>
      <c r="R28">
        <v>189.5</v>
      </c>
      <c r="S28">
        <v>191.75</v>
      </c>
      <c r="T28">
        <v>197</v>
      </c>
      <c r="U28">
        <v>200.625</v>
      </c>
      <c r="V28">
        <v>200.25</v>
      </c>
      <c r="W28">
        <v>202.5</v>
      </c>
      <c r="X28" s="68">
        <f t="shared" si="4"/>
        <v>177.21875</v>
      </c>
    </row>
    <row r="29" spans="1:26" x14ac:dyDescent="0.25">
      <c r="A29">
        <v>160</v>
      </c>
      <c r="B29">
        <v>1</v>
      </c>
      <c r="C29" t="s">
        <v>41</v>
      </c>
      <c r="D29">
        <v>312</v>
      </c>
      <c r="E29">
        <v>311.5</v>
      </c>
      <c r="F29">
        <v>312.875</v>
      </c>
      <c r="G29">
        <v>312.625</v>
      </c>
      <c r="H29">
        <v>313.625</v>
      </c>
      <c r="I29">
        <v>313.75</v>
      </c>
      <c r="J29">
        <v>314.25</v>
      </c>
      <c r="K29">
        <v>314.25</v>
      </c>
      <c r="L29">
        <v>312.75</v>
      </c>
      <c r="M29">
        <v>312</v>
      </c>
      <c r="N29">
        <v>312.875</v>
      </c>
      <c r="O29">
        <v>313.625</v>
      </c>
      <c r="P29">
        <v>311.125</v>
      </c>
      <c r="Q29">
        <v>312.875</v>
      </c>
      <c r="R29">
        <v>311.875</v>
      </c>
      <c r="S29">
        <v>314.375</v>
      </c>
      <c r="T29">
        <v>313.375</v>
      </c>
      <c r="U29">
        <v>315.625</v>
      </c>
      <c r="V29">
        <v>314.625</v>
      </c>
      <c r="W29">
        <v>314.5</v>
      </c>
      <c r="X29" s="69">
        <f t="shared" si="4"/>
        <v>313.22500000000002</v>
      </c>
    </row>
    <row r="30" spans="1:26" x14ac:dyDescent="0.25">
      <c r="A30" t="s">
        <v>93</v>
      </c>
    </row>
    <row r="31" spans="1:26" x14ac:dyDescent="0.25">
      <c r="A31" t="s">
        <v>91</v>
      </c>
    </row>
    <row r="33" spans="1:27" x14ac:dyDescent="0.25">
      <c r="A33" s="74">
        <v>180</v>
      </c>
      <c r="B33" s="74">
        <v>0</v>
      </c>
      <c r="C33" s="74" t="s">
        <v>40</v>
      </c>
      <c r="D33" s="74">
        <v>328.375</v>
      </c>
      <c r="E33" s="74">
        <v>328.375</v>
      </c>
      <c r="F33" s="74">
        <v>325.125</v>
      </c>
      <c r="G33" s="74">
        <v>325.75</v>
      </c>
      <c r="H33" s="74">
        <v>326.75</v>
      </c>
      <c r="I33" s="74">
        <v>326.5</v>
      </c>
      <c r="J33" s="74">
        <v>327.125</v>
      </c>
      <c r="K33" s="74">
        <v>324.375</v>
      </c>
      <c r="L33" s="74">
        <v>325</v>
      </c>
      <c r="M33" s="74">
        <v>327</v>
      </c>
      <c r="N33" s="74">
        <v>328.625</v>
      </c>
      <c r="O33" s="74">
        <v>328.25</v>
      </c>
      <c r="P33" s="74">
        <v>327.625</v>
      </c>
      <c r="Q33" s="74">
        <v>328.5</v>
      </c>
      <c r="R33" s="74">
        <v>327.625</v>
      </c>
      <c r="S33" s="74">
        <v>328.75</v>
      </c>
      <c r="T33" s="74">
        <v>330.375</v>
      </c>
      <c r="U33" s="74">
        <v>330.375</v>
      </c>
      <c r="V33" s="74">
        <v>330</v>
      </c>
      <c r="W33" s="74">
        <v>331</v>
      </c>
      <c r="X33" s="68">
        <f>AVERAGE(D33:W33)</f>
        <v>327.77499999999998</v>
      </c>
    </row>
    <row r="34" spans="1:27" x14ac:dyDescent="0.25">
      <c r="A34" s="74">
        <v>180</v>
      </c>
      <c r="B34" s="74">
        <v>0</v>
      </c>
      <c r="C34" s="74" t="s">
        <v>41</v>
      </c>
      <c r="D34" s="74">
        <v>313.5</v>
      </c>
      <c r="E34" s="74">
        <v>314</v>
      </c>
      <c r="F34" s="74">
        <v>310.75</v>
      </c>
      <c r="G34" s="74">
        <v>310.875</v>
      </c>
      <c r="H34" s="74">
        <v>310.625</v>
      </c>
      <c r="I34" s="74">
        <v>313</v>
      </c>
      <c r="J34" s="74">
        <v>314.125</v>
      </c>
      <c r="K34" s="74">
        <v>311.25</v>
      </c>
      <c r="L34" s="74">
        <v>312.625</v>
      </c>
      <c r="M34" s="74">
        <v>313.25</v>
      </c>
      <c r="N34" s="74">
        <v>313.75</v>
      </c>
      <c r="O34" s="74">
        <v>313.75</v>
      </c>
      <c r="P34" s="74">
        <v>314.25</v>
      </c>
      <c r="Q34" s="74">
        <v>315</v>
      </c>
      <c r="R34" s="74">
        <v>313.75</v>
      </c>
      <c r="S34" s="74">
        <v>313.25</v>
      </c>
      <c r="T34" s="74">
        <v>316.25</v>
      </c>
      <c r="U34" s="74">
        <v>316.5</v>
      </c>
      <c r="V34" s="74">
        <v>314.625</v>
      </c>
      <c r="W34" s="74">
        <v>315</v>
      </c>
      <c r="X34" s="69">
        <f t="shared" ref="X34:X36" si="5">AVERAGE(D34:W34)</f>
        <v>313.50625000000002</v>
      </c>
    </row>
    <row r="35" spans="1:27" x14ac:dyDescent="0.25">
      <c r="A35" s="74">
        <v>180</v>
      </c>
      <c r="B35" s="74">
        <v>1</v>
      </c>
      <c r="C35" s="74" t="s">
        <v>40</v>
      </c>
      <c r="D35" s="74">
        <v>359.25</v>
      </c>
      <c r="E35" s="74">
        <v>361.25</v>
      </c>
      <c r="F35" s="74">
        <v>359.875</v>
      </c>
      <c r="G35" s="74">
        <v>360</v>
      </c>
      <c r="H35" s="74">
        <v>359.875</v>
      </c>
      <c r="I35" s="74">
        <v>360</v>
      </c>
      <c r="J35" s="74">
        <v>358.5</v>
      </c>
      <c r="K35" s="74">
        <v>359.625</v>
      </c>
      <c r="L35" s="74">
        <v>359.625</v>
      </c>
      <c r="M35" s="74">
        <v>357.625</v>
      </c>
      <c r="N35" s="74">
        <v>356.75</v>
      </c>
      <c r="O35" s="74">
        <v>356.125</v>
      </c>
      <c r="P35" s="74">
        <v>355.5</v>
      </c>
      <c r="Q35" s="74">
        <v>357.25</v>
      </c>
      <c r="R35" s="74">
        <v>354.5</v>
      </c>
      <c r="S35" s="74">
        <v>354.875</v>
      </c>
      <c r="T35" s="74">
        <v>354.75</v>
      </c>
      <c r="U35" s="74">
        <v>353.75</v>
      </c>
      <c r="V35" s="74">
        <v>354.125</v>
      </c>
      <c r="W35" s="74">
        <v>354.875</v>
      </c>
      <c r="X35" s="68">
        <f t="shared" si="5"/>
        <v>357.40625</v>
      </c>
    </row>
    <row r="36" spans="1:27" x14ac:dyDescent="0.25">
      <c r="A36" s="74">
        <v>180</v>
      </c>
      <c r="B36" s="74">
        <v>1</v>
      </c>
      <c r="C36" s="74" t="s">
        <v>41</v>
      </c>
      <c r="D36" s="74">
        <v>311.75</v>
      </c>
      <c r="E36" s="74">
        <v>311.625</v>
      </c>
      <c r="F36" s="74">
        <v>312.875</v>
      </c>
      <c r="G36" s="74">
        <v>312</v>
      </c>
      <c r="H36" s="74">
        <v>312</v>
      </c>
      <c r="I36" s="74">
        <v>312.75</v>
      </c>
      <c r="J36" s="74">
        <v>311.5</v>
      </c>
      <c r="K36" s="74">
        <v>313.25</v>
      </c>
      <c r="L36" s="74">
        <v>313.25</v>
      </c>
      <c r="M36" s="74">
        <v>312</v>
      </c>
      <c r="N36" s="74">
        <v>312</v>
      </c>
      <c r="O36" s="74">
        <v>311.25</v>
      </c>
      <c r="P36" s="74">
        <v>311.75</v>
      </c>
      <c r="Q36" s="74">
        <v>311</v>
      </c>
      <c r="R36" s="74">
        <v>310.5</v>
      </c>
      <c r="S36" s="74">
        <v>311.375</v>
      </c>
      <c r="T36" s="74">
        <v>310.75</v>
      </c>
      <c r="U36" s="74">
        <v>310.875</v>
      </c>
      <c r="V36" s="74">
        <v>311.125</v>
      </c>
      <c r="W36" s="74">
        <v>311.25</v>
      </c>
      <c r="X36" s="69">
        <f t="shared" si="5"/>
        <v>311.74374999999998</v>
      </c>
    </row>
    <row r="38" spans="1:27" x14ac:dyDescent="0.25">
      <c r="A38">
        <v>190</v>
      </c>
      <c r="B38">
        <v>0</v>
      </c>
      <c r="C38" t="s">
        <v>40</v>
      </c>
      <c r="D38">
        <v>329</v>
      </c>
      <c r="E38">
        <v>326.25</v>
      </c>
      <c r="F38">
        <v>325.375</v>
      </c>
      <c r="G38">
        <v>326.75</v>
      </c>
      <c r="H38">
        <v>328.5</v>
      </c>
      <c r="I38">
        <v>325.625</v>
      </c>
      <c r="J38">
        <v>325.875</v>
      </c>
      <c r="K38">
        <v>324</v>
      </c>
      <c r="L38">
        <v>324.125</v>
      </c>
      <c r="M38">
        <v>326.375</v>
      </c>
      <c r="N38">
        <v>326.375</v>
      </c>
      <c r="O38">
        <v>329.5</v>
      </c>
      <c r="P38">
        <v>326.625</v>
      </c>
      <c r="Q38">
        <v>326.375</v>
      </c>
      <c r="R38">
        <v>326.75</v>
      </c>
      <c r="S38">
        <v>327.75</v>
      </c>
      <c r="T38">
        <v>327.125</v>
      </c>
      <c r="U38">
        <v>326.375</v>
      </c>
      <c r="V38">
        <v>326.875</v>
      </c>
      <c r="W38">
        <v>325.75</v>
      </c>
      <c r="X38" s="68">
        <f>AVERAGE(D38:W38)</f>
        <v>326.56875000000002</v>
      </c>
    </row>
    <row r="39" spans="1:27" x14ac:dyDescent="0.25">
      <c r="A39">
        <v>190</v>
      </c>
      <c r="B39">
        <v>0</v>
      </c>
      <c r="C39" t="s">
        <v>41</v>
      </c>
      <c r="D39">
        <v>314.875</v>
      </c>
      <c r="E39">
        <v>314.625</v>
      </c>
      <c r="F39">
        <v>312.75</v>
      </c>
      <c r="G39">
        <v>311.125</v>
      </c>
      <c r="H39">
        <v>314.75</v>
      </c>
      <c r="I39">
        <v>313.375</v>
      </c>
      <c r="J39">
        <v>311.625</v>
      </c>
      <c r="K39">
        <v>311.625</v>
      </c>
      <c r="L39">
        <v>310.5</v>
      </c>
      <c r="M39">
        <v>313.25</v>
      </c>
      <c r="N39">
        <v>312.25</v>
      </c>
      <c r="O39">
        <v>315.125</v>
      </c>
      <c r="P39">
        <v>314</v>
      </c>
      <c r="Q39">
        <v>312</v>
      </c>
      <c r="R39">
        <v>313.75</v>
      </c>
      <c r="S39">
        <v>312.875</v>
      </c>
      <c r="T39">
        <v>315.375</v>
      </c>
      <c r="U39">
        <v>312.875</v>
      </c>
      <c r="V39">
        <v>313.625</v>
      </c>
      <c r="W39">
        <v>312.875</v>
      </c>
      <c r="X39" s="69">
        <f t="shared" ref="X39:X41" si="6">AVERAGE(D39:W39)</f>
        <v>313.16250000000002</v>
      </c>
    </row>
    <row r="40" spans="1:27" x14ac:dyDescent="0.25">
      <c r="A40">
        <v>190</v>
      </c>
      <c r="B40">
        <v>1</v>
      </c>
      <c r="C40" t="s">
        <v>40</v>
      </c>
      <c r="D40">
        <v>177.125</v>
      </c>
      <c r="E40">
        <v>183</v>
      </c>
      <c r="F40">
        <v>188</v>
      </c>
      <c r="G40">
        <v>190.5</v>
      </c>
      <c r="H40">
        <v>197.125</v>
      </c>
      <c r="I40">
        <v>199.125</v>
      </c>
      <c r="J40">
        <v>196.625</v>
      </c>
      <c r="K40">
        <v>198.25</v>
      </c>
      <c r="L40">
        <v>201.875</v>
      </c>
      <c r="M40">
        <v>202</v>
      </c>
      <c r="N40">
        <v>210.875</v>
      </c>
      <c r="O40">
        <v>211</v>
      </c>
      <c r="P40">
        <v>212.125</v>
      </c>
      <c r="Q40">
        <v>215</v>
      </c>
      <c r="R40">
        <v>220.5</v>
      </c>
      <c r="S40">
        <v>223</v>
      </c>
      <c r="T40">
        <v>224</v>
      </c>
      <c r="U40">
        <v>224.375</v>
      </c>
      <c r="V40" s="75">
        <v>226.625</v>
      </c>
      <c r="W40" s="75">
        <v>227.125</v>
      </c>
      <c r="X40" s="68">
        <f t="shared" si="6"/>
        <v>206.41249999999999</v>
      </c>
    </row>
    <row r="41" spans="1:27" x14ac:dyDescent="0.25">
      <c r="A41">
        <v>190</v>
      </c>
      <c r="B41">
        <v>1</v>
      </c>
      <c r="C41" t="s">
        <v>41</v>
      </c>
      <c r="D41">
        <v>316.125</v>
      </c>
      <c r="E41">
        <v>316.25</v>
      </c>
      <c r="F41">
        <v>318.625</v>
      </c>
      <c r="G41">
        <v>318.875</v>
      </c>
      <c r="H41">
        <v>319</v>
      </c>
      <c r="I41">
        <v>317.5</v>
      </c>
      <c r="J41">
        <v>315.25</v>
      </c>
      <c r="K41">
        <v>314.625</v>
      </c>
      <c r="L41">
        <v>316</v>
      </c>
      <c r="M41">
        <v>313.375</v>
      </c>
      <c r="N41">
        <v>317</v>
      </c>
      <c r="O41">
        <v>315.375</v>
      </c>
      <c r="P41">
        <v>314</v>
      </c>
      <c r="Q41">
        <v>314.875</v>
      </c>
      <c r="R41">
        <v>317.5</v>
      </c>
      <c r="S41">
        <v>316.625</v>
      </c>
      <c r="T41">
        <v>316.5</v>
      </c>
      <c r="U41">
        <v>316.75</v>
      </c>
      <c r="V41">
        <v>314.75</v>
      </c>
      <c r="W41">
        <v>315.125</v>
      </c>
      <c r="X41" s="69">
        <f t="shared" si="6"/>
        <v>316.20625000000001</v>
      </c>
    </row>
    <row r="43" spans="1:27" x14ac:dyDescent="0.25">
      <c r="A43" t="s">
        <v>92</v>
      </c>
    </row>
    <row r="45" spans="1:27" x14ac:dyDescent="0.25">
      <c r="A45">
        <v>200</v>
      </c>
      <c r="B45">
        <v>0</v>
      </c>
      <c r="C45" t="s">
        <v>40</v>
      </c>
      <c r="D45">
        <v>332.875</v>
      </c>
      <c r="E45">
        <v>332.25</v>
      </c>
      <c r="F45">
        <v>348.25</v>
      </c>
      <c r="G45">
        <v>330.125</v>
      </c>
      <c r="H45">
        <v>325.625</v>
      </c>
      <c r="I45">
        <v>326.75</v>
      </c>
      <c r="J45">
        <v>328.25</v>
      </c>
      <c r="K45">
        <v>327.375</v>
      </c>
      <c r="L45">
        <v>329.875</v>
      </c>
      <c r="M45">
        <v>331.75</v>
      </c>
      <c r="N45">
        <v>329</v>
      </c>
      <c r="O45">
        <v>329</v>
      </c>
      <c r="P45">
        <v>329.5</v>
      </c>
      <c r="Q45">
        <v>330.875</v>
      </c>
      <c r="R45">
        <v>331.625</v>
      </c>
      <c r="S45">
        <v>330.125</v>
      </c>
      <c r="T45">
        <v>328.25</v>
      </c>
      <c r="U45">
        <v>332.25</v>
      </c>
      <c r="V45">
        <v>330.75</v>
      </c>
      <c r="W45">
        <v>331.625</v>
      </c>
      <c r="X45" s="68">
        <f>AVERAGE(D45:W45)</f>
        <v>330.80624999999998</v>
      </c>
    </row>
    <row r="46" spans="1:27" x14ac:dyDescent="0.25">
      <c r="A46">
        <v>200</v>
      </c>
      <c r="B46">
        <v>0</v>
      </c>
      <c r="C46" t="s">
        <v>41</v>
      </c>
      <c r="D46">
        <v>314.375</v>
      </c>
      <c r="E46">
        <v>316.125</v>
      </c>
      <c r="F46">
        <v>335.875</v>
      </c>
      <c r="G46">
        <v>310.875</v>
      </c>
      <c r="H46">
        <v>308.5</v>
      </c>
      <c r="I46">
        <v>310.125</v>
      </c>
      <c r="J46">
        <v>308.25</v>
      </c>
      <c r="K46">
        <v>311</v>
      </c>
      <c r="L46">
        <v>314</v>
      </c>
      <c r="M46">
        <v>314.75</v>
      </c>
      <c r="N46">
        <v>311.5</v>
      </c>
      <c r="O46">
        <v>311.5</v>
      </c>
      <c r="P46">
        <v>312</v>
      </c>
      <c r="Q46">
        <v>313</v>
      </c>
      <c r="R46">
        <v>313</v>
      </c>
      <c r="S46">
        <v>315.625</v>
      </c>
      <c r="T46">
        <v>311</v>
      </c>
      <c r="U46">
        <v>312.375</v>
      </c>
      <c r="V46">
        <v>312.75</v>
      </c>
      <c r="W46">
        <v>314.125</v>
      </c>
      <c r="X46" s="69">
        <f t="shared" ref="X46" si="7">AVERAGE(D46:W46)</f>
        <v>313.53750000000002</v>
      </c>
    </row>
    <row r="47" spans="1:27" x14ac:dyDescent="0.25">
      <c r="A47">
        <v>200</v>
      </c>
      <c r="B47">
        <v>1</v>
      </c>
      <c r="C47" t="s">
        <v>40</v>
      </c>
      <c r="D47">
        <v>248.25</v>
      </c>
      <c r="E47">
        <v>252.125</v>
      </c>
      <c r="F47">
        <v>251.5</v>
      </c>
      <c r="G47">
        <v>261.75</v>
      </c>
      <c r="H47">
        <v>261.625</v>
      </c>
      <c r="I47">
        <v>263.25</v>
      </c>
      <c r="J47">
        <v>260.75</v>
      </c>
      <c r="K47">
        <v>260.625</v>
      </c>
      <c r="L47">
        <v>262.125</v>
      </c>
      <c r="M47">
        <v>266.625</v>
      </c>
      <c r="N47">
        <v>265.125</v>
      </c>
      <c r="O47">
        <v>272.25</v>
      </c>
      <c r="P47">
        <v>268.5</v>
      </c>
      <c r="Q47">
        <v>265.75</v>
      </c>
      <c r="R47">
        <v>266.625</v>
      </c>
      <c r="S47">
        <v>269.25</v>
      </c>
      <c r="T47">
        <v>268.75</v>
      </c>
      <c r="U47">
        <v>276.625</v>
      </c>
      <c r="V47">
        <v>273.875</v>
      </c>
      <c r="W47" s="78">
        <v>272.375</v>
      </c>
      <c r="X47" s="68">
        <f>AVERAGE(D47:W47)</f>
        <v>264.38749999999999</v>
      </c>
      <c r="Z47">
        <f>+Z11/X47</f>
        <v>1.2265791215545365</v>
      </c>
      <c r="AA47">
        <f>+Z11/310</f>
        <v>1.0461038306451613</v>
      </c>
    </row>
    <row r="48" spans="1:27" x14ac:dyDescent="0.25">
      <c r="A48">
        <v>200</v>
      </c>
      <c r="B48">
        <v>1</v>
      </c>
      <c r="C48" t="s">
        <v>41</v>
      </c>
      <c r="D48">
        <v>312.5</v>
      </c>
      <c r="E48">
        <v>314</v>
      </c>
      <c r="F48">
        <v>311.5</v>
      </c>
      <c r="G48">
        <v>318.875</v>
      </c>
      <c r="H48">
        <v>318.875</v>
      </c>
      <c r="I48">
        <v>316.875</v>
      </c>
      <c r="J48">
        <v>313.375</v>
      </c>
      <c r="K48">
        <v>314.75</v>
      </c>
      <c r="L48">
        <v>313.125</v>
      </c>
      <c r="M48">
        <v>315.375</v>
      </c>
      <c r="N48">
        <v>317.75</v>
      </c>
      <c r="O48">
        <v>319.875</v>
      </c>
      <c r="P48">
        <v>316.875</v>
      </c>
      <c r="Q48">
        <v>314.25</v>
      </c>
      <c r="R48">
        <v>314.25</v>
      </c>
      <c r="S48">
        <v>314.75</v>
      </c>
      <c r="T48">
        <v>314.75</v>
      </c>
      <c r="U48">
        <v>321.125</v>
      </c>
      <c r="V48">
        <v>318.125</v>
      </c>
      <c r="W48" s="77">
        <v>315.375</v>
      </c>
      <c r="X48" s="69">
        <f>AVERAGE(F48:W48)</f>
        <v>316.10416666666669</v>
      </c>
    </row>
    <row r="50" spans="1:26" ht="15.75" thickBot="1" x14ac:dyDescent="0.3">
      <c r="A50" s="51" t="s">
        <v>91</v>
      </c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2" spans="1:26" ht="15.75" thickBot="1" x14ac:dyDescent="0.3">
      <c r="A52" s="139" t="s">
        <v>94</v>
      </c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</row>
    <row r="53" spans="1:26" ht="15.75" thickTop="1" x14ac:dyDescent="0.25">
      <c r="A53">
        <v>220</v>
      </c>
      <c r="B53">
        <v>0</v>
      </c>
      <c r="C53" t="s">
        <v>40</v>
      </c>
      <c r="D53">
        <v>326.375</v>
      </c>
      <c r="E53">
        <v>327.5</v>
      </c>
      <c r="F53">
        <v>325</v>
      </c>
      <c r="G53">
        <v>326.5</v>
      </c>
      <c r="H53">
        <v>327.375</v>
      </c>
      <c r="I53">
        <v>328.625</v>
      </c>
      <c r="J53">
        <v>327.25</v>
      </c>
      <c r="K53">
        <v>328</v>
      </c>
      <c r="L53">
        <v>326.125</v>
      </c>
      <c r="M53">
        <v>327.75</v>
      </c>
      <c r="N53">
        <v>325</v>
      </c>
      <c r="O53">
        <v>327</v>
      </c>
      <c r="P53">
        <v>326.75</v>
      </c>
      <c r="Q53">
        <v>326.375</v>
      </c>
      <c r="R53">
        <v>325.75</v>
      </c>
      <c r="S53">
        <v>327.25</v>
      </c>
      <c r="T53">
        <v>328.375</v>
      </c>
      <c r="U53">
        <v>330.625</v>
      </c>
      <c r="V53">
        <v>328.375</v>
      </c>
      <c r="W53">
        <v>331.125</v>
      </c>
      <c r="X53" s="68">
        <f>AVERAGE(D53:W53)</f>
        <v>327.35624999999999</v>
      </c>
    </row>
    <row r="54" spans="1:26" x14ac:dyDescent="0.25">
      <c r="A54">
        <v>220</v>
      </c>
      <c r="B54">
        <v>0</v>
      </c>
      <c r="C54" t="s">
        <v>41</v>
      </c>
      <c r="D54">
        <v>312.875</v>
      </c>
      <c r="E54">
        <v>313.625</v>
      </c>
      <c r="F54">
        <v>312.875</v>
      </c>
      <c r="G54">
        <v>313.25</v>
      </c>
      <c r="H54">
        <v>312.25</v>
      </c>
      <c r="I54">
        <v>314.25</v>
      </c>
      <c r="J54">
        <v>313.625</v>
      </c>
      <c r="K54">
        <v>310.5</v>
      </c>
      <c r="L54">
        <v>311.5</v>
      </c>
      <c r="M54">
        <v>310.875</v>
      </c>
      <c r="N54">
        <v>311.625</v>
      </c>
      <c r="O54">
        <v>312.125</v>
      </c>
      <c r="P54">
        <v>313.5</v>
      </c>
      <c r="Q54">
        <v>314</v>
      </c>
      <c r="R54">
        <v>311.25</v>
      </c>
      <c r="S54">
        <v>313.5</v>
      </c>
      <c r="T54">
        <v>314.75</v>
      </c>
      <c r="U54">
        <v>314.125</v>
      </c>
      <c r="V54">
        <v>313.625</v>
      </c>
      <c r="W54">
        <v>314.875</v>
      </c>
      <c r="X54" s="69">
        <f t="shared" ref="X54" si="8">AVERAGE(D54:W54)</f>
        <v>312.95</v>
      </c>
    </row>
    <row r="55" spans="1:26" x14ac:dyDescent="0.25">
      <c r="A55">
        <v>220</v>
      </c>
      <c r="B55">
        <v>1</v>
      </c>
      <c r="C55" t="s">
        <v>40</v>
      </c>
      <c r="D55">
        <v>233.75</v>
      </c>
      <c r="E55">
        <v>237.125</v>
      </c>
      <c r="F55">
        <v>242.125</v>
      </c>
      <c r="G55">
        <v>239.625</v>
      </c>
      <c r="H55">
        <v>241.375</v>
      </c>
      <c r="I55">
        <v>245</v>
      </c>
      <c r="J55">
        <v>245.875</v>
      </c>
      <c r="K55">
        <v>247</v>
      </c>
      <c r="L55">
        <v>247.75</v>
      </c>
      <c r="M55">
        <v>249</v>
      </c>
      <c r="N55">
        <v>252.375</v>
      </c>
      <c r="O55">
        <v>252.875</v>
      </c>
      <c r="P55">
        <v>253.75</v>
      </c>
      <c r="Q55">
        <v>257.375</v>
      </c>
      <c r="R55">
        <v>255</v>
      </c>
      <c r="S55">
        <v>258.25</v>
      </c>
      <c r="T55">
        <v>258.625</v>
      </c>
      <c r="U55">
        <v>260.75</v>
      </c>
      <c r="V55">
        <v>263.5</v>
      </c>
      <c r="W55" s="78">
        <v>265.75</v>
      </c>
      <c r="X55" s="68">
        <f>AVERAGE(D55:W55)</f>
        <v>250.34375</v>
      </c>
    </row>
    <row r="56" spans="1:26" x14ac:dyDescent="0.25">
      <c r="A56">
        <v>220</v>
      </c>
      <c r="B56">
        <v>1</v>
      </c>
      <c r="C56" t="s">
        <v>41</v>
      </c>
      <c r="D56">
        <v>316.375</v>
      </c>
      <c r="E56">
        <v>316.75</v>
      </c>
      <c r="F56">
        <v>318.5</v>
      </c>
      <c r="G56">
        <v>316.625</v>
      </c>
      <c r="H56">
        <v>316</v>
      </c>
      <c r="I56">
        <v>315.375</v>
      </c>
      <c r="J56">
        <v>317</v>
      </c>
      <c r="K56">
        <v>316.25</v>
      </c>
      <c r="L56">
        <v>315.875</v>
      </c>
      <c r="M56">
        <v>314.125</v>
      </c>
      <c r="N56">
        <v>316.125</v>
      </c>
      <c r="O56">
        <v>315.625</v>
      </c>
      <c r="P56">
        <v>314.75</v>
      </c>
      <c r="Q56">
        <v>316.375</v>
      </c>
      <c r="R56">
        <v>315.875</v>
      </c>
      <c r="S56">
        <v>315.125</v>
      </c>
      <c r="T56">
        <v>315.125</v>
      </c>
      <c r="U56">
        <v>314</v>
      </c>
      <c r="V56">
        <v>314.75</v>
      </c>
      <c r="W56" s="77">
        <v>315.875</v>
      </c>
      <c r="X56" s="69">
        <f>AVERAGE(F56:W56)</f>
        <v>315.74305555555554</v>
      </c>
    </row>
    <row r="59" spans="1:26" x14ac:dyDescent="0.25">
      <c r="A59">
        <v>230</v>
      </c>
      <c r="B59">
        <v>0</v>
      </c>
      <c r="C59" t="s">
        <v>40</v>
      </c>
      <c r="D59">
        <v>326.5</v>
      </c>
      <c r="E59">
        <v>326.375</v>
      </c>
      <c r="F59">
        <v>325.25</v>
      </c>
      <c r="G59">
        <v>325.75</v>
      </c>
      <c r="H59">
        <v>324.625</v>
      </c>
      <c r="I59">
        <v>325.25</v>
      </c>
      <c r="J59">
        <v>326</v>
      </c>
      <c r="K59">
        <v>327.5</v>
      </c>
      <c r="L59">
        <v>326.125</v>
      </c>
      <c r="M59">
        <v>326.125</v>
      </c>
      <c r="N59">
        <v>325.25</v>
      </c>
      <c r="O59">
        <v>324.875</v>
      </c>
      <c r="P59">
        <v>326.375</v>
      </c>
      <c r="Q59">
        <v>326.25</v>
      </c>
      <c r="R59">
        <v>326.75</v>
      </c>
      <c r="S59">
        <v>329.375</v>
      </c>
      <c r="T59">
        <v>323.75</v>
      </c>
      <c r="U59">
        <v>324.75</v>
      </c>
      <c r="V59">
        <v>326.875</v>
      </c>
      <c r="W59">
        <v>325.125</v>
      </c>
      <c r="X59" s="68">
        <f>AVERAGE(D59:W59)</f>
        <v>325.94375000000002</v>
      </c>
    </row>
    <row r="60" spans="1:26" x14ac:dyDescent="0.25">
      <c r="A60">
        <v>230</v>
      </c>
      <c r="B60">
        <v>0</v>
      </c>
      <c r="C60" t="s">
        <v>41</v>
      </c>
      <c r="D60">
        <v>310.75</v>
      </c>
      <c r="E60">
        <v>311.625</v>
      </c>
      <c r="F60">
        <v>310.625</v>
      </c>
      <c r="G60">
        <v>310</v>
      </c>
      <c r="H60">
        <v>311.5</v>
      </c>
      <c r="I60">
        <v>312.375</v>
      </c>
      <c r="J60">
        <v>312.625</v>
      </c>
      <c r="K60">
        <v>310.5</v>
      </c>
      <c r="L60">
        <v>311.5</v>
      </c>
      <c r="M60">
        <v>311.625</v>
      </c>
      <c r="N60">
        <v>312</v>
      </c>
      <c r="O60">
        <v>311.5</v>
      </c>
      <c r="P60">
        <v>310.375</v>
      </c>
      <c r="Q60">
        <v>310.25</v>
      </c>
      <c r="R60">
        <v>313.875</v>
      </c>
      <c r="S60">
        <v>315.25</v>
      </c>
      <c r="T60">
        <v>309.625</v>
      </c>
      <c r="U60">
        <v>311.875</v>
      </c>
      <c r="V60">
        <v>312.375</v>
      </c>
      <c r="W60">
        <v>310.125</v>
      </c>
      <c r="X60" s="69">
        <f t="shared" ref="X60:X62" si="9">AVERAGE(D60:W60)</f>
        <v>311.51875000000001</v>
      </c>
    </row>
    <row r="61" spans="1:26" x14ac:dyDescent="0.25">
      <c r="A61">
        <v>230</v>
      </c>
      <c r="B61">
        <v>1</v>
      </c>
      <c r="C61" t="s">
        <v>40</v>
      </c>
      <c r="D61">
        <v>239.75</v>
      </c>
      <c r="E61">
        <v>240.25</v>
      </c>
      <c r="F61">
        <v>242.125</v>
      </c>
      <c r="G61">
        <v>243.25</v>
      </c>
      <c r="H61">
        <v>247.875</v>
      </c>
      <c r="I61">
        <v>247.875</v>
      </c>
      <c r="J61">
        <v>249.75</v>
      </c>
      <c r="K61">
        <v>252.625</v>
      </c>
      <c r="L61">
        <v>252.625</v>
      </c>
      <c r="M61">
        <v>252.75</v>
      </c>
      <c r="N61">
        <v>254.75</v>
      </c>
      <c r="O61">
        <v>256.625</v>
      </c>
      <c r="P61">
        <v>256.875</v>
      </c>
      <c r="Q61">
        <v>259.625</v>
      </c>
      <c r="R61">
        <v>258</v>
      </c>
      <c r="S61">
        <v>261.125</v>
      </c>
      <c r="T61">
        <v>261.125</v>
      </c>
      <c r="U61">
        <v>261.75</v>
      </c>
      <c r="V61">
        <v>264.25</v>
      </c>
      <c r="W61" s="78">
        <v>263.875</v>
      </c>
      <c r="X61" s="68">
        <f t="shared" si="9"/>
        <v>253.34375</v>
      </c>
    </row>
    <row r="62" spans="1:26" x14ac:dyDescent="0.25">
      <c r="A62">
        <v>230</v>
      </c>
      <c r="B62">
        <v>1</v>
      </c>
      <c r="C62" t="s">
        <v>41</v>
      </c>
      <c r="D62">
        <v>313.125</v>
      </c>
      <c r="E62">
        <v>316.625</v>
      </c>
      <c r="F62">
        <v>313.375</v>
      </c>
      <c r="G62">
        <v>313.375</v>
      </c>
      <c r="H62">
        <v>315.125</v>
      </c>
      <c r="I62">
        <v>317.5</v>
      </c>
      <c r="J62">
        <v>315.5</v>
      </c>
      <c r="K62">
        <v>314.375</v>
      </c>
      <c r="L62">
        <v>313.25</v>
      </c>
      <c r="M62">
        <v>313.75</v>
      </c>
      <c r="N62">
        <v>314.5</v>
      </c>
      <c r="O62">
        <v>316.5</v>
      </c>
      <c r="P62">
        <v>314.125</v>
      </c>
      <c r="Q62">
        <v>314.5</v>
      </c>
      <c r="R62">
        <v>313.625</v>
      </c>
      <c r="S62">
        <v>314.5</v>
      </c>
      <c r="T62">
        <v>312.75</v>
      </c>
      <c r="U62">
        <v>313.625</v>
      </c>
      <c r="V62">
        <v>315.625</v>
      </c>
      <c r="W62" s="77">
        <v>313.5</v>
      </c>
      <c r="X62" s="69">
        <f t="shared" si="9"/>
        <v>314.46249999999998</v>
      </c>
    </row>
    <row r="65" spans="1:24" x14ac:dyDescent="0.25">
      <c r="A65">
        <v>240</v>
      </c>
      <c r="B65">
        <v>0</v>
      </c>
      <c r="C65" t="s">
        <v>40</v>
      </c>
      <c r="D65">
        <v>326.375</v>
      </c>
      <c r="E65">
        <v>327</v>
      </c>
      <c r="F65">
        <v>326.5</v>
      </c>
      <c r="G65">
        <v>322.375</v>
      </c>
      <c r="H65">
        <v>324.125</v>
      </c>
      <c r="I65">
        <v>321.5</v>
      </c>
      <c r="J65">
        <v>324.75</v>
      </c>
      <c r="K65">
        <v>323.5</v>
      </c>
      <c r="L65">
        <v>324.625</v>
      </c>
      <c r="M65">
        <v>324.75</v>
      </c>
      <c r="N65">
        <v>324.25</v>
      </c>
      <c r="O65">
        <v>323.75</v>
      </c>
      <c r="P65">
        <v>325.5</v>
      </c>
      <c r="Q65">
        <v>325.5</v>
      </c>
      <c r="R65">
        <v>325.875</v>
      </c>
      <c r="S65">
        <v>324.75</v>
      </c>
      <c r="T65">
        <v>326</v>
      </c>
      <c r="U65">
        <v>325.125</v>
      </c>
      <c r="V65">
        <v>326.75</v>
      </c>
      <c r="W65">
        <v>327.625</v>
      </c>
      <c r="X65" s="68">
        <f>AVERAGE(D65:W65)</f>
        <v>325.03125</v>
      </c>
    </row>
    <row r="66" spans="1:24" x14ac:dyDescent="0.25">
      <c r="A66">
        <v>240</v>
      </c>
      <c r="B66">
        <v>0</v>
      </c>
      <c r="C66" t="s">
        <v>41</v>
      </c>
      <c r="D66">
        <v>312.625</v>
      </c>
      <c r="E66">
        <v>311.625</v>
      </c>
      <c r="F66">
        <v>312.625</v>
      </c>
      <c r="G66">
        <v>310.25</v>
      </c>
      <c r="H66">
        <v>312.375</v>
      </c>
      <c r="I66">
        <v>311.875</v>
      </c>
      <c r="J66">
        <v>314</v>
      </c>
      <c r="K66">
        <v>311.875</v>
      </c>
      <c r="L66">
        <v>312</v>
      </c>
      <c r="M66">
        <v>312.5</v>
      </c>
      <c r="N66">
        <v>311.375</v>
      </c>
      <c r="O66">
        <v>311.625</v>
      </c>
      <c r="P66">
        <v>313.625</v>
      </c>
      <c r="Q66">
        <v>312</v>
      </c>
      <c r="R66">
        <v>314.125</v>
      </c>
      <c r="S66">
        <v>312.625</v>
      </c>
      <c r="T66">
        <v>312.875</v>
      </c>
      <c r="U66">
        <v>312</v>
      </c>
      <c r="V66">
        <v>313.125</v>
      </c>
      <c r="W66">
        <v>314</v>
      </c>
      <c r="X66" s="69">
        <f t="shared" ref="X66:X68" si="10">AVERAGE(D66:W66)</f>
        <v>312.45625000000001</v>
      </c>
    </row>
    <row r="67" spans="1:24" x14ac:dyDescent="0.25">
      <c r="A67">
        <v>240</v>
      </c>
      <c r="B67">
        <v>1</v>
      </c>
      <c r="C67" t="s">
        <v>40</v>
      </c>
      <c r="D67">
        <v>231.625</v>
      </c>
      <c r="E67">
        <v>235.125</v>
      </c>
      <c r="F67">
        <v>234.375</v>
      </c>
      <c r="G67">
        <v>235.625</v>
      </c>
      <c r="H67">
        <v>240</v>
      </c>
      <c r="I67">
        <v>241.625</v>
      </c>
      <c r="J67">
        <v>243.375</v>
      </c>
      <c r="K67">
        <v>244.375</v>
      </c>
      <c r="L67">
        <v>244.75</v>
      </c>
      <c r="M67">
        <v>249.375</v>
      </c>
      <c r="N67">
        <v>249.375</v>
      </c>
      <c r="O67">
        <v>253.125</v>
      </c>
      <c r="P67">
        <v>253.25</v>
      </c>
      <c r="Q67">
        <v>253.875</v>
      </c>
      <c r="R67">
        <v>254.875</v>
      </c>
      <c r="S67">
        <v>257.625</v>
      </c>
      <c r="T67">
        <v>258.5</v>
      </c>
      <c r="U67">
        <v>260.5</v>
      </c>
      <c r="V67">
        <v>261.5</v>
      </c>
      <c r="W67" s="78">
        <v>264.75</v>
      </c>
      <c r="X67" s="68">
        <f t="shared" si="10"/>
        <v>248.38124999999999</v>
      </c>
    </row>
    <row r="68" spans="1:24" x14ac:dyDescent="0.25">
      <c r="A68">
        <v>240</v>
      </c>
      <c r="B68">
        <v>1</v>
      </c>
      <c r="C68" t="s">
        <v>41</v>
      </c>
      <c r="D68">
        <v>313.875</v>
      </c>
      <c r="E68">
        <v>315.625</v>
      </c>
      <c r="F68">
        <v>315.125</v>
      </c>
      <c r="G68">
        <v>314.75</v>
      </c>
      <c r="H68">
        <v>314.375</v>
      </c>
      <c r="I68">
        <v>315.5</v>
      </c>
      <c r="J68">
        <v>314.5</v>
      </c>
      <c r="K68">
        <v>314.375</v>
      </c>
      <c r="L68">
        <v>315.625</v>
      </c>
      <c r="M68">
        <v>313.75</v>
      </c>
      <c r="N68">
        <v>314.75</v>
      </c>
      <c r="O68">
        <v>315.375</v>
      </c>
      <c r="P68">
        <v>315.375</v>
      </c>
      <c r="Q68">
        <v>315.375</v>
      </c>
      <c r="R68">
        <v>314.25</v>
      </c>
      <c r="S68">
        <v>313.25</v>
      </c>
      <c r="T68">
        <v>316</v>
      </c>
      <c r="U68">
        <v>317</v>
      </c>
      <c r="V68">
        <v>315.25</v>
      </c>
      <c r="W68" s="77">
        <v>315.375</v>
      </c>
      <c r="X68" s="69">
        <f t="shared" si="10"/>
        <v>314.97500000000002</v>
      </c>
    </row>
    <row r="71" spans="1:24" x14ac:dyDescent="0.25">
      <c r="A71">
        <v>250</v>
      </c>
      <c r="B71">
        <v>0</v>
      </c>
      <c r="C71" t="s">
        <v>40</v>
      </c>
      <c r="D71">
        <v>329.125</v>
      </c>
      <c r="E71">
        <v>328.875</v>
      </c>
      <c r="F71">
        <v>327.375</v>
      </c>
      <c r="G71">
        <v>327.625</v>
      </c>
      <c r="H71">
        <v>326.875</v>
      </c>
      <c r="I71">
        <v>328.375</v>
      </c>
      <c r="J71">
        <v>327.875</v>
      </c>
      <c r="K71">
        <v>327.625</v>
      </c>
      <c r="L71">
        <v>329</v>
      </c>
      <c r="M71">
        <v>329.125</v>
      </c>
      <c r="N71">
        <v>327.75</v>
      </c>
      <c r="O71">
        <v>326.375</v>
      </c>
      <c r="P71">
        <v>325</v>
      </c>
      <c r="Q71">
        <v>327</v>
      </c>
      <c r="R71">
        <v>329.75</v>
      </c>
      <c r="S71">
        <v>328.875</v>
      </c>
      <c r="T71">
        <v>326.375</v>
      </c>
      <c r="U71">
        <v>325.875</v>
      </c>
      <c r="V71">
        <v>328</v>
      </c>
      <c r="W71">
        <v>327.75</v>
      </c>
      <c r="X71" s="68">
        <f>AVERAGE(D71:W71)</f>
        <v>327.73124999999999</v>
      </c>
    </row>
    <row r="72" spans="1:24" x14ac:dyDescent="0.25">
      <c r="A72">
        <v>250</v>
      </c>
      <c r="B72">
        <v>0</v>
      </c>
      <c r="C72" t="s">
        <v>41</v>
      </c>
      <c r="D72">
        <v>311.25</v>
      </c>
      <c r="E72">
        <v>313.625</v>
      </c>
      <c r="F72">
        <v>313.25</v>
      </c>
      <c r="G72">
        <v>312.25</v>
      </c>
      <c r="H72">
        <v>313.875</v>
      </c>
      <c r="I72">
        <v>310.75</v>
      </c>
      <c r="J72">
        <v>311.625</v>
      </c>
      <c r="K72">
        <v>312.5</v>
      </c>
      <c r="L72">
        <v>311.625</v>
      </c>
      <c r="M72">
        <v>311.5</v>
      </c>
      <c r="N72">
        <v>312.125</v>
      </c>
      <c r="O72">
        <v>311.375</v>
      </c>
      <c r="P72">
        <v>310.75</v>
      </c>
      <c r="Q72">
        <v>311.5</v>
      </c>
      <c r="R72">
        <v>313</v>
      </c>
      <c r="S72">
        <v>312.5</v>
      </c>
      <c r="T72">
        <v>312.375</v>
      </c>
      <c r="U72">
        <v>310.25</v>
      </c>
      <c r="V72">
        <v>311.5</v>
      </c>
      <c r="W72">
        <v>312</v>
      </c>
      <c r="X72" s="69">
        <f t="shared" ref="X72:X74" si="11">AVERAGE(D72:W72)</f>
        <v>311.98124999999999</v>
      </c>
    </row>
    <row r="73" spans="1:24" x14ac:dyDescent="0.25">
      <c r="A73">
        <v>250</v>
      </c>
      <c r="B73">
        <v>1</v>
      </c>
      <c r="C73" t="s">
        <v>40</v>
      </c>
      <c r="D73">
        <v>229</v>
      </c>
      <c r="E73">
        <v>231.25</v>
      </c>
      <c r="F73">
        <v>232.25</v>
      </c>
      <c r="G73">
        <v>234.25</v>
      </c>
      <c r="H73">
        <v>235.875</v>
      </c>
      <c r="I73">
        <v>238</v>
      </c>
      <c r="J73">
        <v>239.75</v>
      </c>
      <c r="K73">
        <v>240.125</v>
      </c>
      <c r="L73">
        <v>244.625</v>
      </c>
      <c r="M73">
        <v>246.125</v>
      </c>
      <c r="N73">
        <v>247.5</v>
      </c>
      <c r="O73">
        <v>248.5</v>
      </c>
      <c r="P73">
        <v>250.75</v>
      </c>
      <c r="Q73">
        <v>252.75</v>
      </c>
      <c r="R73">
        <v>257</v>
      </c>
      <c r="S73">
        <v>255.375</v>
      </c>
      <c r="T73">
        <v>259.25</v>
      </c>
      <c r="U73">
        <v>260.25</v>
      </c>
      <c r="V73">
        <v>258</v>
      </c>
      <c r="W73" s="78">
        <v>261.625</v>
      </c>
      <c r="X73" s="68">
        <f t="shared" si="11"/>
        <v>246.11250000000001</v>
      </c>
    </row>
    <row r="74" spans="1:24" x14ac:dyDescent="0.25">
      <c r="A74">
        <v>250</v>
      </c>
      <c r="B74">
        <v>1</v>
      </c>
      <c r="C74" t="s">
        <v>41</v>
      </c>
      <c r="D74">
        <v>314.125</v>
      </c>
      <c r="E74">
        <v>314.875</v>
      </c>
      <c r="F74">
        <v>315.5</v>
      </c>
      <c r="G74">
        <v>315.625</v>
      </c>
      <c r="H74">
        <v>315.75</v>
      </c>
      <c r="I74">
        <v>314</v>
      </c>
      <c r="J74">
        <v>315</v>
      </c>
      <c r="K74">
        <v>311.5</v>
      </c>
      <c r="L74">
        <v>314.875</v>
      </c>
      <c r="M74">
        <v>315</v>
      </c>
      <c r="N74">
        <v>312.875</v>
      </c>
      <c r="O74">
        <v>313.875</v>
      </c>
      <c r="P74">
        <v>316.375</v>
      </c>
      <c r="Q74">
        <v>314.5</v>
      </c>
      <c r="R74">
        <v>315.625</v>
      </c>
      <c r="S74">
        <v>315.625</v>
      </c>
      <c r="T74">
        <v>315.125</v>
      </c>
      <c r="U74">
        <v>316.875</v>
      </c>
      <c r="V74">
        <v>315</v>
      </c>
      <c r="W74" s="77">
        <v>315</v>
      </c>
      <c r="X74" s="69">
        <f t="shared" si="11"/>
        <v>314.85624999999999</v>
      </c>
    </row>
    <row r="77" spans="1:24" x14ac:dyDescent="0.25">
      <c r="A77" s="76">
        <v>260</v>
      </c>
      <c r="B77" s="76">
        <v>0</v>
      </c>
      <c r="C77" s="76" t="s">
        <v>40</v>
      </c>
      <c r="D77" s="76">
        <v>324.375</v>
      </c>
      <c r="E77" s="76">
        <v>326.5</v>
      </c>
      <c r="F77" s="76">
        <v>326.75</v>
      </c>
      <c r="G77" s="76">
        <v>325.875</v>
      </c>
      <c r="H77" s="76">
        <v>324.875</v>
      </c>
      <c r="I77" s="76">
        <v>326.375</v>
      </c>
      <c r="J77" s="76">
        <v>325.75</v>
      </c>
      <c r="K77" s="76">
        <v>325.125</v>
      </c>
      <c r="L77" s="76">
        <v>326.5</v>
      </c>
      <c r="M77" s="76">
        <v>328</v>
      </c>
      <c r="N77" s="76">
        <v>327.25</v>
      </c>
      <c r="O77" s="76">
        <v>326.25</v>
      </c>
      <c r="P77" s="76">
        <v>324.75</v>
      </c>
      <c r="Q77" s="76">
        <v>326.25</v>
      </c>
      <c r="R77" s="76">
        <v>325.75</v>
      </c>
      <c r="S77" s="76">
        <v>326.75</v>
      </c>
      <c r="T77" s="76">
        <v>325.375</v>
      </c>
      <c r="U77" s="76">
        <v>325.875</v>
      </c>
      <c r="V77" s="76">
        <v>328.25</v>
      </c>
      <c r="W77" s="76">
        <v>326.375</v>
      </c>
      <c r="X77" s="68">
        <f>AVERAGE(D77:W77)</f>
        <v>326.14999999999998</v>
      </c>
    </row>
    <row r="78" spans="1:24" x14ac:dyDescent="0.25">
      <c r="A78" s="76">
        <v>260</v>
      </c>
      <c r="B78" s="76">
        <v>0</v>
      </c>
      <c r="C78" s="76" t="s">
        <v>41</v>
      </c>
      <c r="D78" s="76">
        <v>312.875</v>
      </c>
      <c r="E78" s="76">
        <v>311.875</v>
      </c>
      <c r="F78" s="76">
        <v>309.75</v>
      </c>
      <c r="G78" s="76">
        <v>309.375</v>
      </c>
      <c r="H78" s="76">
        <v>311.5</v>
      </c>
      <c r="I78" s="76">
        <v>312</v>
      </c>
      <c r="J78" s="76">
        <v>312.625</v>
      </c>
      <c r="K78" s="76">
        <v>312</v>
      </c>
      <c r="L78" s="76">
        <v>312</v>
      </c>
      <c r="M78" s="76">
        <v>311.125</v>
      </c>
      <c r="N78" s="76">
        <v>309</v>
      </c>
      <c r="O78" s="76">
        <v>311</v>
      </c>
      <c r="P78" s="76">
        <v>310.125</v>
      </c>
      <c r="Q78" s="76">
        <v>312.125</v>
      </c>
      <c r="R78" s="76">
        <v>311</v>
      </c>
      <c r="S78" s="76">
        <v>312</v>
      </c>
      <c r="T78" s="76">
        <v>311.25</v>
      </c>
      <c r="U78" s="76">
        <v>312.125</v>
      </c>
      <c r="V78" s="76">
        <v>311.625</v>
      </c>
      <c r="W78" s="76">
        <v>310.125</v>
      </c>
      <c r="X78" s="69">
        <f t="shared" ref="X78:X80" si="12">AVERAGE(D78:W78)</f>
        <v>311.27499999999998</v>
      </c>
    </row>
    <row r="79" spans="1:24" x14ac:dyDescent="0.25">
      <c r="A79" s="76">
        <v>260</v>
      </c>
      <c r="B79" s="76">
        <v>1</v>
      </c>
      <c r="C79" s="76" t="s">
        <v>40</v>
      </c>
      <c r="D79" s="76">
        <v>327.875</v>
      </c>
      <c r="E79" s="76">
        <v>326.875</v>
      </c>
      <c r="F79" s="76">
        <v>325</v>
      </c>
      <c r="G79" s="76">
        <v>327</v>
      </c>
      <c r="H79" s="76">
        <v>325.375</v>
      </c>
      <c r="I79" s="76">
        <v>326</v>
      </c>
      <c r="J79" s="76">
        <v>327</v>
      </c>
      <c r="K79" s="76">
        <v>327.5</v>
      </c>
      <c r="L79" s="76">
        <v>328.5</v>
      </c>
      <c r="M79" s="76">
        <v>327.5</v>
      </c>
      <c r="N79" s="76">
        <v>328</v>
      </c>
      <c r="O79" s="76">
        <v>327.875</v>
      </c>
      <c r="P79" s="76">
        <v>327.375</v>
      </c>
      <c r="Q79" s="76">
        <v>328.125</v>
      </c>
      <c r="R79" s="76">
        <v>327.75</v>
      </c>
      <c r="S79" s="76">
        <v>328.25</v>
      </c>
      <c r="T79" s="76">
        <v>328.25</v>
      </c>
      <c r="U79" s="76">
        <v>327.875</v>
      </c>
      <c r="V79" s="76">
        <v>328.125</v>
      </c>
      <c r="W79" s="76">
        <v>330.125</v>
      </c>
      <c r="X79" s="68">
        <f t="shared" si="12"/>
        <v>327.51875000000001</v>
      </c>
    </row>
    <row r="80" spans="1:24" x14ac:dyDescent="0.25">
      <c r="A80" s="76">
        <v>260</v>
      </c>
      <c r="B80" s="76">
        <v>1</v>
      </c>
      <c r="C80" s="76" t="s">
        <v>41</v>
      </c>
      <c r="D80" s="76">
        <v>310</v>
      </c>
      <c r="E80" s="76">
        <v>310.25</v>
      </c>
      <c r="F80" s="76">
        <v>308.75</v>
      </c>
      <c r="G80" s="76">
        <v>309.125</v>
      </c>
      <c r="H80" s="76">
        <v>307.625</v>
      </c>
      <c r="I80" s="76">
        <v>308.125</v>
      </c>
      <c r="J80" s="76">
        <v>310</v>
      </c>
      <c r="K80" s="76">
        <v>310.125</v>
      </c>
      <c r="L80" s="76">
        <v>310.375</v>
      </c>
      <c r="M80" s="76">
        <v>312.125</v>
      </c>
      <c r="N80" s="76">
        <v>310.25</v>
      </c>
      <c r="O80" s="76">
        <v>311.75</v>
      </c>
      <c r="P80" s="76">
        <v>309.75</v>
      </c>
      <c r="Q80" s="76">
        <v>310.625</v>
      </c>
      <c r="R80" s="76">
        <v>310.5</v>
      </c>
      <c r="S80" s="76">
        <v>309.75</v>
      </c>
      <c r="T80" s="76">
        <v>311.875</v>
      </c>
      <c r="U80" s="76">
        <v>310.625</v>
      </c>
      <c r="V80" s="76">
        <v>310.625</v>
      </c>
      <c r="W80" s="76">
        <v>314.125</v>
      </c>
      <c r="X80" s="69">
        <f t="shared" si="12"/>
        <v>310.31875000000002</v>
      </c>
    </row>
  </sheetData>
  <mergeCells count="3">
    <mergeCell ref="A2:X2"/>
    <mergeCell ref="A25:X25"/>
    <mergeCell ref="A52:X5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EE349-76F5-4DD3-AE91-19533DD2A987}">
  <dimension ref="A1:AB299"/>
  <sheetViews>
    <sheetView topLeftCell="A268" zoomScale="110" zoomScaleNormal="110" workbookViewId="0">
      <selection activeCell="AA288" sqref="AA288"/>
    </sheetView>
  </sheetViews>
  <sheetFormatPr baseColWidth="10" defaultRowHeight="15" x14ac:dyDescent="0.25"/>
  <cols>
    <col min="1" max="1" width="5" bestFit="1" customWidth="1"/>
    <col min="2" max="2" width="2" bestFit="1" customWidth="1"/>
    <col min="3" max="3" width="3.85546875" bestFit="1" customWidth="1"/>
    <col min="4" max="10" width="6.5703125" style="33" bestFit="1" customWidth="1"/>
    <col min="11" max="11" width="6.5703125" style="33" customWidth="1"/>
    <col min="12" max="24" width="6.5703125" style="33" bestFit="1" customWidth="1"/>
    <col min="28" max="28" width="22.85546875" customWidth="1"/>
  </cols>
  <sheetData>
    <row r="1" spans="1:25" x14ac:dyDescent="0.25">
      <c r="A1">
        <v>700</v>
      </c>
      <c r="B1">
        <v>0</v>
      </c>
      <c r="C1" t="s">
        <v>41</v>
      </c>
      <c r="D1" s="33">
        <v>303.875</v>
      </c>
      <c r="E1" s="33">
        <v>305.5</v>
      </c>
      <c r="F1" s="33">
        <v>305</v>
      </c>
      <c r="G1" s="33">
        <v>304.375</v>
      </c>
      <c r="H1" s="33">
        <v>304.625</v>
      </c>
      <c r="I1" s="33">
        <v>306.875</v>
      </c>
      <c r="J1" s="33">
        <v>306.5</v>
      </c>
      <c r="L1" s="33">
        <v>304.625</v>
      </c>
      <c r="M1" s="33">
        <v>306.875</v>
      </c>
      <c r="N1" s="33">
        <v>305.5</v>
      </c>
      <c r="O1" s="33">
        <v>305.25</v>
      </c>
      <c r="P1" s="33">
        <v>307.25</v>
      </c>
      <c r="Q1" s="33">
        <v>305.75</v>
      </c>
      <c r="R1" s="33">
        <v>305</v>
      </c>
      <c r="S1" s="33">
        <v>303.375</v>
      </c>
      <c r="T1" s="33">
        <v>304.125</v>
      </c>
      <c r="U1" s="33">
        <v>305.25</v>
      </c>
      <c r="V1" s="33">
        <v>303.625</v>
      </c>
      <c r="W1" s="33">
        <v>306.875</v>
      </c>
      <c r="X1" s="33">
        <v>306.625</v>
      </c>
      <c r="Y1" s="21">
        <f t="shared" ref="Y1:Y55" si="0">AVERAGE(D1:X1)</f>
        <v>305.34375</v>
      </c>
    </row>
    <row r="2" spans="1:25" x14ac:dyDescent="0.25">
      <c r="A2">
        <v>720</v>
      </c>
      <c r="B2">
        <v>0</v>
      </c>
      <c r="C2" t="s">
        <v>41</v>
      </c>
      <c r="D2" s="33">
        <v>303.125</v>
      </c>
      <c r="E2" s="33">
        <v>305.25</v>
      </c>
      <c r="F2" s="33">
        <v>302.125</v>
      </c>
      <c r="G2" s="33">
        <v>304.875</v>
      </c>
      <c r="H2" s="33">
        <v>307.5</v>
      </c>
      <c r="I2" s="33">
        <v>306.5</v>
      </c>
      <c r="J2" s="33">
        <v>305.75</v>
      </c>
      <c r="L2" s="33">
        <v>305.375</v>
      </c>
      <c r="M2" s="33">
        <v>303.125</v>
      </c>
      <c r="N2" s="33">
        <v>304.875</v>
      </c>
      <c r="O2" s="33">
        <v>304.375</v>
      </c>
      <c r="P2" s="33">
        <v>303.625</v>
      </c>
      <c r="Q2" s="33">
        <v>304.75</v>
      </c>
      <c r="R2" s="33">
        <v>305.5</v>
      </c>
      <c r="S2" s="33">
        <v>305.75</v>
      </c>
      <c r="T2" s="33">
        <v>303.5</v>
      </c>
      <c r="U2" s="33">
        <v>303.75</v>
      </c>
      <c r="V2" s="33">
        <v>304.375</v>
      </c>
      <c r="W2" s="33">
        <v>304.125</v>
      </c>
      <c r="X2" s="33">
        <v>303</v>
      </c>
      <c r="Y2" s="21">
        <f t="shared" si="0"/>
        <v>304.5625</v>
      </c>
    </row>
    <row r="3" spans="1:25" x14ac:dyDescent="0.25">
      <c r="A3">
        <v>740</v>
      </c>
      <c r="B3">
        <v>0</v>
      </c>
      <c r="C3" t="s">
        <v>41</v>
      </c>
      <c r="D3" s="33">
        <v>304.5</v>
      </c>
      <c r="E3" s="33">
        <v>303.125</v>
      </c>
      <c r="F3" s="33">
        <v>299.375</v>
      </c>
      <c r="G3" s="33">
        <v>302.875</v>
      </c>
      <c r="H3" s="33">
        <v>304.25</v>
      </c>
      <c r="I3" s="33">
        <v>306.125</v>
      </c>
      <c r="J3" s="33">
        <v>304.875</v>
      </c>
      <c r="L3" s="33">
        <v>301.75</v>
      </c>
      <c r="M3" s="33">
        <v>302.75</v>
      </c>
      <c r="N3" s="33">
        <v>303.75</v>
      </c>
      <c r="O3" s="33">
        <v>306</v>
      </c>
      <c r="P3" s="33">
        <v>304.125</v>
      </c>
      <c r="Q3" s="33">
        <v>304</v>
      </c>
      <c r="R3" s="33">
        <v>305.375</v>
      </c>
      <c r="S3" s="33">
        <v>301.875</v>
      </c>
      <c r="T3" s="33">
        <v>301.125</v>
      </c>
      <c r="U3" s="33">
        <v>304.375</v>
      </c>
      <c r="V3" s="33">
        <v>304.625</v>
      </c>
      <c r="W3" s="33">
        <v>303.375</v>
      </c>
      <c r="X3" s="33">
        <v>305.625</v>
      </c>
      <c r="Y3" s="21">
        <f t="shared" si="0"/>
        <v>303.69375000000002</v>
      </c>
    </row>
    <row r="4" spans="1:25" x14ac:dyDescent="0.25">
      <c r="A4">
        <v>760</v>
      </c>
      <c r="B4">
        <v>0</v>
      </c>
      <c r="C4" t="s">
        <v>41</v>
      </c>
      <c r="D4" s="33">
        <v>305.125</v>
      </c>
      <c r="E4" s="33">
        <v>304.5</v>
      </c>
      <c r="F4" s="33">
        <v>304.875</v>
      </c>
      <c r="G4" s="33">
        <v>305.25</v>
      </c>
      <c r="H4" s="33">
        <v>304.25</v>
      </c>
      <c r="I4" s="33">
        <v>301.25</v>
      </c>
      <c r="J4" s="33">
        <v>304.875</v>
      </c>
      <c r="L4" s="33">
        <v>304</v>
      </c>
      <c r="M4" s="33">
        <v>303</v>
      </c>
      <c r="N4" s="33">
        <v>304.5</v>
      </c>
      <c r="O4" s="33">
        <v>307</v>
      </c>
      <c r="P4" s="33">
        <v>304.75</v>
      </c>
      <c r="Q4" s="33">
        <v>305.5</v>
      </c>
      <c r="R4" s="33">
        <v>305.125</v>
      </c>
      <c r="S4" s="33">
        <v>303.875</v>
      </c>
      <c r="T4" s="33">
        <v>304</v>
      </c>
      <c r="U4" s="33">
        <v>307</v>
      </c>
      <c r="V4" s="33">
        <v>300.5</v>
      </c>
      <c r="W4" s="33">
        <v>303.25</v>
      </c>
      <c r="X4" s="33">
        <v>301.75</v>
      </c>
      <c r="Y4" s="21">
        <f t="shared" si="0"/>
        <v>304.21875</v>
      </c>
    </row>
    <row r="5" spans="1:25" x14ac:dyDescent="0.25">
      <c r="A5">
        <v>780</v>
      </c>
      <c r="B5">
        <v>0</v>
      </c>
      <c r="C5" t="s">
        <v>41</v>
      </c>
      <c r="D5" s="33">
        <v>303.625</v>
      </c>
      <c r="E5" s="33">
        <v>303.5</v>
      </c>
      <c r="F5" s="33">
        <v>304.125</v>
      </c>
      <c r="G5" s="33">
        <v>303.375</v>
      </c>
      <c r="H5" s="33">
        <v>302.375</v>
      </c>
      <c r="I5" s="33">
        <v>303.25</v>
      </c>
      <c r="J5" s="33">
        <v>304.5</v>
      </c>
      <c r="L5" s="33">
        <v>305.125</v>
      </c>
      <c r="M5" s="33">
        <v>305.25</v>
      </c>
      <c r="N5" s="33">
        <v>305.75</v>
      </c>
      <c r="O5" s="33">
        <v>303</v>
      </c>
      <c r="P5" s="33">
        <v>302.875</v>
      </c>
      <c r="Q5" s="33">
        <v>304</v>
      </c>
      <c r="R5" s="33">
        <v>305</v>
      </c>
      <c r="S5" s="33">
        <v>304.5</v>
      </c>
      <c r="T5" s="33">
        <v>305</v>
      </c>
      <c r="U5" s="33">
        <v>304.25</v>
      </c>
      <c r="V5" s="33">
        <v>303.375</v>
      </c>
      <c r="W5" s="33">
        <v>303.125</v>
      </c>
      <c r="X5" s="33">
        <v>300.875</v>
      </c>
      <c r="Y5" s="21">
        <f t="shared" si="0"/>
        <v>303.84375</v>
      </c>
    </row>
    <row r="6" spans="1:25" x14ac:dyDescent="0.25">
      <c r="A6">
        <v>800</v>
      </c>
      <c r="B6">
        <v>0</v>
      </c>
      <c r="C6" t="s">
        <v>41</v>
      </c>
      <c r="D6" s="33">
        <v>303.5</v>
      </c>
      <c r="E6" s="33">
        <v>306.625</v>
      </c>
      <c r="F6" s="33">
        <v>304.25</v>
      </c>
      <c r="G6" s="33">
        <v>304.875</v>
      </c>
      <c r="H6" s="33">
        <v>303.5</v>
      </c>
      <c r="I6" s="33">
        <v>303.125</v>
      </c>
      <c r="J6" s="33">
        <v>304</v>
      </c>
      <c r="L6" s="33">
        <v>303.125</v>
      </c>
      <c r="M6" s="33">
        <v>301.75</v>
      </c>
      <c r="N6" s="33">
        <v>301</v>
      </c>
      <c r="O6" s="33">
        <v>303</v>
      </c>
      <c r="P6" s="33">
        <v>302.625</v>
      </c>
      <c r="Q6" s="33">
        <v>305</v>
      </c>
      <c r="R6" s="33">
        <v>303.125</v>
      </c>
      <c r="S6" s="33">
        <v>303</v>
      </c>
      <c r="T6" s="33">
        <v>303.875</v>
      </c>
      <c r="U6" s="33">
        <v>303.5</v>
      </c>
      <c r="V6" s="33">
        <v>305.25</v>
      </c>
      <c r="W6" s="33">
        <v>304.5</v>
      </c>
      <c r="X6" s="33">
        <v>305.625</v>
      </c>
      <c r="Y6" s="21">
        <f t="shared" si="0"/>
        <v>303.76249999999999</v>
      </c>
    </row>
    <row r="7" spans="1:25" x14ac:dyDescent="0.25">
      <c r="A7">
        <v>820</v>
      </c>
      <c r="B7">
        <v>0</v>
      </c>
      <c r="C7" t="s">
        <v>41</v>
      </c>
      <c r="D7" s="33">
        <v>305</v>
      </c>
      <c r="E7" s="33">
        <v>305.625</v>
      </c>
      <c r="F7" s="33">
        <v>304</v>
      </c>
      <c r="G7" s="33">
        <v>307</v>
      </c>
      <c r="H7" s="33">
        <v>301.5</v>
      </c>
      <c r="I7" s="33">
        <v>303.875</v>
      </c>
      <c r="J7" s="33">
        <v>302.375</v>
      </c>
      <c r="K7" s="33">
        <v>303</v>
      </c>
      <c r="L7" s="33">
        <v>300.875</v>
      </c>
      <c r="M7" s="33">
        <v>301.875</v>
      </c>
      <c r="N7" s="33">
        <v>304</v>
      </c>
      <c r="O7" s="33">
        <v>303.625</v>
      </c>
      <c r="P7" s="33">
        <v>303</v>
      </c>
      <c r="Q7" s="33">
        <v>301.875</v>
      </c>
      <c r="R7" s="33">
        <v>304.125</v>
      </c>
      <c r="S7" s="33">
        <v>302.5</v>
      </c>
      <c r="T7" s="33">
        <v>302.5</v>
      </c>
      <c r="U7" s="33">
        <v>303.75</v>
      </c>
      <c r="V7" s="33">
        <v>304.5</v>
      </c>
      <c r="W7" s="33">
        <v>303.5</v>
      </c>
      <c r="X7" s="33">
        <v>302.5</v>
      </c>
      <c r="Y7" s="21">
        <f t="shared" si="0"/>
        <v>303.38095238095241</v>
      </c>
    </row>
    <row r="8" spans="1:25" x14ac:dyDescent="0.25">
      <c r="A8">
        <v>840</v>
      </c>
      <c r="B8">
        <v>0</v>
      </c>
      <c r="C8" t="s">
        <v>41</v>
      </c>
      <c r="D8" s="33">
        <v>303.875</v>
      </c>
      <c r="E8" s="33">
        <v>303.75</v>
      </c>
      <c r="F8" s="33">
        <v>302</v>
      </c>
      <c r="G8" s="33">
        <v>307.375</v>
      </c>
      <c r="H8" s="33">
        <v>302.5</v>
      </c>
      <c r="I8" s="33">
        <v>303.125</v>
      </c>
      <c r="J8" s="33">
        <v>304.75</v>
      </c>
      <c r="L8" s="33">
        <v>305</v>
      </c>
      <c r="M8" s="33">
        <v>302.5</v>
      </c>
      <c r="N8" s="33">
        <v>302</v>
      </c>
      <c r="O8" s="33">
        <v>302.5</v>
      </c>
      <c r="P8" s="33">
        <v>304.625</v>
      </c>
      <c r="Q8" s="33">
        <v>304.5</v>
      </c>
      <c r="R8" s="33">
        <v>302.625</v>
      </c>
      <c r="S8" s="33">
        <v>302.875</v>
      </c>
      <c r="T8" s="33">
        <v>301.25</v>
      </c>
      <c r="U8" s="33">
        <v>302.5</v>
      </c>
      <c r="V8" s="33">
        <v>303</v>
      </c>
      <c r="W8" s="33">
        <v>302</v>
      </c>
      <c r="X8" s="33">
        <v>302.625</v>
      </c>
      <c r="Y8" s="21">
        <f t="shared" si="0"/>
        <v>303.26875000000001</v>
      </c>
    </row>
    <row r="9" spans="1:25" x14ac:dyDescent="0.25">
      <c r="A9">
        <v>860</v>
      </c>
      <c r="B9">
        <v>0</v>
      </c>
      <c r="C9" t="s">
        <v>41</v>
      </c>
      <c r="D9" s="33">
        <v>303.875</v>
      </c>
      <c r="E9" s="33">
        <v>302.5</v>
      </c>
      <c r="F9" s="33">
        <v>302.875</v>
      </c>
      <c r="G9" s="33">
        <v>303</v>
      </c>
      <c r="H9" s="33">
        <v>303.625</v>
      </c>
      <c r="I9" s="33">
        <v>304.125</v>
      </c>
      <c r="J9" s="33">
        <v>302.375</v>
      </c>
      <c r="L9" s="33">
        <v>303.75</v>
      </c>
      <c r="M9" s="33">
        <v>303</v>
      </c>
      <c r="N9" s="33">
        <v>303.375</v>
      </c>
      <c r="O9" s="33">
        <v>301.75</v>
      </c>
      <c r="P9" s="33">
        <v>302.875</v>
      </c>
      <c r="Q9" s="33">
        <v>302.75</v>
      </c>
      <c r="R9" s="33">
        <v>304.25</v>
      </c>
      <c r="S9" s="33">
        <v>303.125</v>
      </c>
      <c r="T9" s="33">
        <v>303.375</v>
      </c>
      <c r="U9" s="33">
        <v>301.875</v>
      </c>
      <c r="V9" s="33" t="str">
        <f>+WET_4!AA288</f>
        <v xml:space="preserve"> </v>
      </c>
      <c r="W9" s="33">
        <v>303.375</v>
      </c>
      <c r="X9" s="33">
        <v>303.375</v>
      </c>
      <c r="Y9" s="21">
        <f t="shared" si="0"/>
        <v>303.11842105263156</v>
      </c>
    </row>
    <row r="10" spans="1:25" x14ac:dyDescent="0.25">
      <c r="A10">
        <v>880</v>
      </c>
      <c r="B10">
        <v>0</v>
      </c>
      <c r="C10" t="s">
        <v>41</v>
      </c>
      <c r="D10" s="33">
        <v>306.25</v>
      </c>
      <c r="E10" s="33">
        <v>302.875</v>
      </c>
      <c r="F10" s="33">
        <v>303.25</v>
      </c>
      <c r="G10" s="33">
        <v>303.375</v>
      </c>
      <c r="H10" s="33">
        <v>302.625</v>
      </c>
      <c r="I10" s="33">
        <v>302.875</v>
      </c>
      <c r="J10" s="33">
        <v>302.75</v>
      </c>
      <c r="L10" s="33">
        <v>301.125</v>
      </c>
      <c r="M10" s="33">
        <v>305.375</v>
      </c>
      <c r="N10" s="33">
        <v>302.75</v>
      </c>
      <c r="O10" s="33">
        <v>303.75</v>
      </c>
      <c r="P10" s="33">
        <v>304.25</v>
      </c>
      <c r="Q10" s="33">
        <v>304.75</v>
      </c>
      <c r="R10" s="33">
        <v>303.5</v>
      </c>
      <c r="S10" s="33">
        <v>302.125</v>
      </c>
      <c r="T10" s="33">
        <v>301.125</v>
      </c>
      <c r="U10" s="33">
        <v>304.5</v>
      </c>
      <c r="V10" s="33">
        <v>303.25</v>
      </c>
      <c r="W10" s="33">
        <v>302.125</v>
      </c>
      <c r="X10" s="33">
        <v>303.75</v>
      </c>
      <c r="Y10" s="21">
        <f t="shared" si="0"/>
        <v>303.31875000000002</v>
      </c>
    </row>
    <row r="11" spans="1:25" x14ac:dyDescent="0.25">
      <c r="A11">
        <v>900</v>
      </c>
      <c r="B11">
        <v>0</v>
      </c>
      <c r="C11" t="s">
        <v>41</v>
      </c>
      <c r="D11" s="33">
        <v>304.625</v>
      </c>
      <c r="E11" s="33">
        <v>303.875</v>
      </c>
      <c r="F11" s="33">
        <v>304.875</v>
      </c>
      <c r="G11" s="33">
        <v>304.125</v>
      </c>
      <c r="H11" s="33">
        <v>303</v>
      </c>
      <c r="I11" s="33">
        <v>302.375</v>
      </c>
      <c r="J11" s="33">
        <v>303.25</v>
      </c>
      <c r="L11" s="33">
        <v>302.125</v>
      </c>
      <c r="M11" s="33">
        <v>305.75</v>
      </c>
      <c r="N11" s="33">
        <v>303.75</v>
      </c>
      <c r="O11" s="33">
        <v>305.125</v>
      </c>
      <c r="P11" s="33">
        <v>304.75</v>
      </c>
      <c r="Q11" s="33">
        <v>298.875</v>
      </c>
      <c r="R11" s="33">
        <v>306.75</v>
      </c>
      <c r="S11" s="33">
        <v>300.5</v>
      </c>
      <c r="T11" s="33">
        <v>305</v>
      </c>
      <c r="U11" s="33">
        <v>303.875</v>
      </c>
      <c r="V11" s="33">
        <v>303.375</v>
      </c>
      <c r="W11" s="33">
        <v>302.875</v>
      </c>
      <c r="X11" s="33">
        <v>302.75</v>
      </c>
      <c r="Y11" s="21">
        <f t="shared" si="0"/>
        <v>303.58125000000001</v>
      </c>
    </row>
    <row r="12" spans="1:25" x14ac:dyDescent="0.25">
      <c r="A12">
        <v>920</v>
      </c>
      <c r="B12">
        <v>0</v>
      </c>
      <c r="C12" t="s">
        <v>41</v>
      </c>
      <c r="D12" s="33">
        <v>302.125</v>
      </c>
      <c r="E12" s="33">
        <v>303.125</v>
      </c>
      <c r="F12" s="33">
        <v>302.5</v>
      </c>
      <c r="G12" s="33">
        <v>303.375</v>
      </c>
      <c r="H12" s="33">
        <v>303.25</v>
      </c>
      <c r="I12" s="33">
        <v>304.875</v>
      </c>
      <c r="J12" s="33">
        <v>302.5</v>
      </c>
      <c r="L12" s="33">
        <v>303.125</v>
      </c>
      <c r="M12" s="33">
        <v>304.5</v>
      </c>
      <c r="N12" s="33">
        <v>304.375</v>
      </c>
      <c r="O12" s="33">
        <v>302.375</v>
      </c>
      <c r="P12" s="33">
        <v>303.375</v>
      </c>
      <c r="Q12" s="33">
        <v>302.625</v>
      </c>
      <c r="R12" s="33">
        <v>302.5</v>
      </c>
      <c r="S12" s="33">
        <v>302.375</v>
      </c>
      <c r="T12" s="33">
        <v>302.625</v>
      </c>
      <c r="U12" s="33">
        <v>302.5</v>
      </c>
      <c r="V12" s="33">
        <v>304</v>
      </c>
      <c r="W12" s="33">
        <v>302.5</v>
      </c>
      <c r="X12" s="33">
        <v>301.75</v>
      </c>
      <c r="Y12" s="21">
        <f t="shared" si="0"/>
        <v>303.01875000000001</v>
      </c>
    </row>
    <row r="13" spans="1:25" x14ac:dyDescent="0.25">
      <c r="A13">
        <v>940</v>
      </c>
      <c r="B13">
        <v>0</v>
      </c>
      <c r="C13" t="s">
        <v>41</v>
      </c>
      <c r="D13" s="33">
        <v>304.125</v>
      </c>
      <c r="E13" s="33">
        <v>306.625</v>
      </c>
      <c r="F13" s="33">
        <v>303.75</v>
      </c>
      <c r="G13" s="33">
        <v>305.875</v>
      </c>
      <c r="H13" s="33">
        <v>302.5</v>
      </c>
      <c r="I13" s="33">
        <v>303.5</v>
      </c>
      <c r="J13" s="33">
        <v>302.875</v>
      </c>
      <c r="L13" s="33">
        <v>303.875</v>
      </c>
      <c r="M13" s="33">
        <v>300</v>
      </c>
      <c r="N13" s="33">
        <v>303.5</v>
      </c>
      <c r="O13" s="33">
        <v>302</v>
      </c>
      <c r="P13" s="33">
        <v>301.875</v>
      </c>
      <c r="Q13" s="33">
        <v>302.625</v>
      </c>
      <c r="R13" s="33">
        <v>303.25</v>
      </c>
      <c r="S13" s="33">
        <v>302.375</v>
      </c>
      <c r="T13" s="33">
        <v>303.125</v>
      </c>
      <c r="U13" s="33">
        <v>301.25</v>
      </c>
      <c r="V13" s="33">
        <v>305.25</v>
      </c>
      <c r="W13" s="33">
        <v>305</v>
      </c>
      <c r="X13" s="33">
        <v>305.125</v>
      </c>
      <c r="Y13" s="21">
        <f t="shared" si="0"/>
        <v>303.42500000000001</v>
      </c>
    </row>
    <row r="14" spans="1:25" x14ac:dyDescent="0.25">
      <c r="A14">
        <v>960</v>
      </c>
      <c r="B14">
        <v>0</v>
      </c>
      <c r="C14" t="s">
        <v>41</v>
      </c>
      <c r="D14" s="33">
        <v>303.875</v>
      </c>
      <c r="E14" s="33">
        <v>303.625</v>
      </c>
      <c r="F14" s="33">
        <v>302.625</v>
      </c>
      <c r="G14" s="33">
        <v>303.375</v>
      </c>
      <c r="H14" s="33">
        <v>304.375</v>
      </c>
      <c r="I14" s="33">
        <v>304</v>
      </c>
      <c r="J14" s="33">
        <v>303.75</v>
      </c>
      <c r="L14" s="33">
        <v>302.125</v>
      </c>
      <c r="M14" s="33">
        <v>302.375</v>
      </c>
      <c r="N14" s="33">
        <v>301.5</v>
      </c>
      <c r="O14" s="33">
        <v>302.25</v>
      </c>
      <c r="P14" s="33">
        <v>303.5</v>
      </c>
      <c r="Q14" s="33">
        <v>302.25</v>
      </c>
      <c r="R14" s="33">
        <v>304.125</v>
      </c>
      <c r="S14" s="33">
        <v>303.625</v>
      </c>
      <c r="T14" s="33">
        <v>302.75</v>
      </c>
      <c r="U14" s="33">
        <v>302.25</v>
      </c>
      <c r="V14" s="33">
        <v>303.25</v>
      </c>
      <c r="W14" s="33">
        <v>302.875</v>
      </c>
      <c r="X14" s="33">
        <v>302.125</v>
      </c>
      <c r="Y14" s="21">
        <f t="shared" si="0"/>
        <v>303.03125</v>
      </c>
    </row>
    <row r="15" spans="1:25" x14ac:dyDescent="0.25">
      <c r="A15">
        <v>980</v>
      </c>
      <c r="B15">
        <v>0</v>
      </c>
      <c r="C15" t="s">
        <v>41</v>
      </c>
      <c r="D15" s="33">
        <v>302.625</v>
      </c>
      <c r="E15" s="33">
        <v>303.375</v>
      </c>
      <c r="F15" s="33">
        <v>303.875</v>
      </c>
      <c r="G15" s="33">
        <v>301.25</v>
      </c>
      <c r="H15" s="33">
        <v>301.25</v>
      </c>
      <c r="I15" s="33">
        <v>302</v>
      </c>
      <c r="J15" s="33">
        <v>305.75</v>
      </c>
      <c r="L15" s="33">
        <v>305.25</v>
      </c>
      <c r="M15" s="33">
        <v>302.25</v>
      </c>
      <c r="N15" s="33">
        <v>302.25</v>
      </c>
      <c r="O15" s="33">
        <v>302.75</v>
      </c>
      <c r="P15" s="33">
        <v>304.875</v>
      </c>
      <c r="Q15" s="33">
        <v>303.375</v>
      </c>
      <c r="R15" s="33">
        <v>303.75</v>
      </c>
      <c r="S15" s="33">
        <v>303.625</v>
      </c>
      <c r="T15" s="33">
        <v>302.75</v>
      </c>
      <c r="U15" s="33">
        <v>304.125</v>
      </c>
      <c r="V15" s="33">
        <v>302.375</v>
      </c>
      <c r="W15" s="33">
        <v>303.125</v>
      </c>
      <c r="X15" s="33">
        <v>302.75</v>
      </c>
      <c r="Y15" s="21">
        <f t="shared" si="0"/>
        <v>303.16874999999999</v>
      </c>
    </row>
    <row r="16" spans="1:25" x14ac:dyDescent="0.25">
      <c r="A16">
        <v>1000</v>
      </c>
      <c r="B16">
        <v>0</v>
      </c>
      <c r="C16" t="s">
        <v>41</v>
      </c>
      <c r="D16" s="33">
        <v>301.875</v>
      </c>
      <c r="E16" s="33">
        <v>303.625</v>
      </c>
      <c r="F16" s="33">
        <v>303.125</v>
      </c>
      <c r="G16" s="33">
        <v>303.125</v>
      </c>
      <c r="H16" s="33">
        <v>302.25</v>
      </c>
      <c r="I16" s="33">
        <v>302</v>
      </c>
      <c r="J16" s="33">
        <v>302.25</v>
      </c>
      <c r="L16" s="33">
        <v>303.625</v>
      </c>
      <c r="M16" s="33">
        <v>303</v>
      </c>
      <c r="N16" s="33">
        <v>304.5</v>
      </c>
      <c r="O16" s="33">
        <v>303.75</v>
      </c>
      <c r="P16" s="33">
        <v>302.875</v>
      </c>
      <c r="Q16" s="33">
        <v>303.375</v>
      </c>
      <c r="R16" s="33">
        <v>303.625</v>
      </c>
      <c r="S16" s="33">
        <v>305.375</v>
      </c>
      <c r="T16" s="33">
        <v>302.875</v>
      </c>
      <c r="U16" s="33">
        <v>303.375</v>
      </c>
      <c r="V16" s="33">
        <v>302.5</v>
      </c>
      <c r="W16" s="33">
        <v>301.875</v>
      </c>
      <c r="X16" s="33">
        <v>301.875</v>
      </c>
      <c r="Y16" s="21">
        <f t="shared" si="0"/>
        <v>303.04374999999999</v>
      </c>
    </row>
    <row r="17" spans="1:25" x14ac:dyDescent="0.25">
      <c r="A17">
        <v>1020</v>
      </c>
      <c r="B17">
        <v>0</v>
      </c>
      <c r="C17" t="s">
        <v>41</v>
      </c>
      <c r="D17" s="33">
        <v>302.625</v>
      </c>
      <c r="E17" s="33">
        <v>302.25</v>
      </c>
      <c r="F17" s="33">
        <v>305.625</v>
      </c>
      <c r="G17" s="33">
        <v>302.375</v>
      </c>
      <c r="H17" s="33">
        <v>304.625</v>
      </c>
      <c r="I17" s="33">
        <v>305.5</v>
      </c>
      <c r="J17" s="33">
        <v>303.125</v>
      </c>
      <c r="L17" s="33">
        <v>303.75</v>
      </c>
      <c r="M17" s="33">
        <v>303.625</v>
      </c>
      <c r="N17" s="33">
        <v>303.25</v>
      </c>
      <c r="O17" s="33">
        <v>302.25</v>
      </c>
      <c r="P17" s="33">
        <v>303.625</v>
      </c>
      <c r="Q17" s="33">
        <v>302.5</v>
      </c>
      <c r="R17" s="33">
        <v>304.625</v>
      </c>
      <c r="S17" s="33">
        <v>303.625</v>
      </c>
      <c r="T17" s="33">
        <v>302.75</v>
      </c>
      <c r="U17" s="33">
        <v>302.75</v>
      </c>
      <c r="V17" s="33">
        <v>303</v>
      </c>
      <c r="W17" s="33">
        <v>303.25</v>
      </c>
      <c r="X17" s="33">
        <v>304</v>
      </c>
      <c r="Y17" s="21">
        <f t="shared" si="0"/>
        <v>303.45625000000001</v>
      </c>
    </row>
    <row r="18" spans="1:25" x14ac:dyDescent="0.25">
      <c r="A18">
        <v>1040</v>
      </c>
      <c r="B18">
        <v>0</v>
      </c>
      <c r="C18" t="s">
        <v>41</v>
      </c>
      <c r="D18" s="33">
        <v>304.375</v>
      </c>
      <c r="E18" s="33">
        <v>302.875</v>
      </c>
      <c r="F18" s="33">
        <v>303.375</v>
      </c>
      <c r="G18" s="33">
        <v>302.875</v>
      </c>
      <c r="H18" s="33">
        <v>302.5</v>
      </c>
      <c r="I18" s="33">
        <v>302.125</v>
      </c>
      <c r="J18" s="33">
        <v>304.625</v>
      </c>
      <c r="L18" s="33">
        <v>303.25</v>
      </c>
      <c r="M18" s="33">
        <v>303</v>
      </c>
      <c r="N18" s="33">
        <v>304.375</v>
      </c>
      <c r="O18" s="33">
        <v>304.75</v>
      </c>
      <c r="P18" s="33">
        <v>305</v>
      </c>
      <c r="Q18" s="33">
        <v>304.25</v>
      </c>
      <c r="R18" s="33">
        <v>305.5</v>
      </c>
      <c r="S18" s="33">
        <v>303.75</v>
      </c>
      <c r="T18" s="33">
        <v>306.25</v>
      </c>
      <c r="U18" s="33">
        <v>304.625</v>
      </c>
      <c r="V18" s="33">
        <v>303.875</v>
      </c>
      <c r="W18" s="33">
        <v>304.5</v>
      </c>
      <c r="X18" s="33">
        <v>301</v>
      </c>
      <c r="Y18" s="21">
        <f t="shared" si="0"/>
        <v>303.84375</v>
      </c>
    </row>
    <row r="19" spans="1:25" x14ac:dyDescent="0.25">
      <c r="A19">
        <v>1060</v>
      </c>
      <c r="B19">
        <v>0</v>
      </c>
      <c r="C19" t="s">
        <v>41</v>
      </c>
      <c r="D19" s="33">
        <v>302.625</v>
      </c>
      <c r="E19" s="33">
        <v>304.5</v>
      </c>
      <c r="F19" s="33">
        <v>303.375</v>
      </c>
      <c r="G19" s="33">
        <v>303</v>
      </c>
      <c r="H19" s="33">
        <v>303.25</v>
      </c>
      <c r="I19" s="33">
        <v>302.375</v>
      </c>
      <c r="J19" s="33">
        <v>302.75</v>
      </c>
      <c r="L19" s="33">
        <v>304</v>
      </c>
      <c r="M19" s="33">
        <v>303</v>
      </c>
      <c r="N19" s="33">
        <v>303.125</v>
      </c>
      <c r="O19" s="33">
        <v>305.125</v>
      </c>
      <c r="P19" s="33">
        <v>304</v>
      </c>
      <c r="Q19" s="33">
        <v>302.625</v>
      </c>
      <c r="R19" s="33">
        <v>302.875</v>
      </c>
      <c r="S19" s="33">
        <v>302.5</v>
      </c>
      <c r="T19" s="33">
        <v>304.375</v>
      </c>
      <c r="U19" s="33">
        <v>302.625</v>
      </c>
      <c r="V19" s="33">
        <v>301.75</v>
      </c>
      <c r="W19" s="33">
        <v>302.875</v>
      </c>
      <c r="X19" s="33">
        <v>302.5</v>
      </c>
      <c r="Y19" s="21">
        <f t="shared" si="0"/>
        <v>303.16250000000002</v>
      </c>
    </row>
    <row r="20" spans="1:25" x14ac:dyDescent="0.25">
      <c r="A20">
        <v>1080</v>
      </c>
      <c r="B20">
        <v>0</v>
      </c>
      <c r="C20" t="s">
        <v>41</v>
      </c>
      <c r="D20" s="33">
        <v>304.25</v>
      </c>
      <c r="E20" s="33">
        <v>303.25</v>
      </c>
      <c r="F20" s="33">
        <v>304.875</v>
      </c>
      <c r="G20" s="33">
        <v>306.25</v>
      </c>
      <c r="H20" s="33">
        <v>302.625</v>
      </c>
      <c r="I20" s="33">
        <v>303.25</v>
      </c>
      <c r="J20" s="33">
        <v>303.875</v>
      </c>
      <c r="L20" s="33">
        <v>302.25</v>
      </c>
      <c r="M20" s="33">
        <v>302.875</v>
      </c>
      <c r="N20" s="33">
        <v>301.75</v>
      </c>
      <c r="O20" s="33">
        <v>301.625</v>
      </c>
      <c r="P20" s="33">
        <v>303.875</v>
      </c>
      <c r="Q20" s="33">
        <v>302</v>
      </c>
      <c r="R20" s="33">
        <v>301.75</v>
      </c>
      <c r="S20" s="33">
        <v>302.125</v>
      </c>
      <c r="T20" s="33">
        <v>301.375</v>
      </c>
      <c r="U20" s="33">
        <v>302.375</v>
      </c>
      <c r="V20" s="33">
        <v>305</v>
      </c>
      <c r="W20" s="33">
        <v>303.125</v>
      </c>
      <c r="X20" s="33">
        <v>305.375</v>
      </c>
      <c r="Y20" s="21">
        <f t="shared" si="0"/>
        <v>303.19375000000002</v>
      </c>
    </row>
    <row r="21" spans="1:25" x14ac:dyDescent="0.25">
      <c r="A21">
        <v>1100</v>
      </c>
      <c r="B21">
        <v>0</v>
      </c>
      <c r="C21" t="s">
        <v>41</v>
      </c>
      <c r="D21" s="33">
        <v>303</v>
      </c>
      <c r="E21" s="33">
        <v>305.375</v>
      </c>
      <c r="F21" s="33">
        <v>302.125</v>
      </c>
      <c r="G21" s="33">
        <v>300.75</v>
      </c>
      <c r="H21" s="33">
        <v>303.125</v>
      </c>
      <c r="I21" s="33">
        <v>302.5</v>
      </c>
      <c r="J21" s="33">
        <v>303</v>
      </c>
      <c r="L21" s="33">
        <v>300.875</v>
      </c>
      <c r="M21" s="33">
        <v>304.5</v>
      </c>
      <c r="N21" s="33">
        <v>303.25</v>
      </c>
      <c r="O21" s="33">
        <v>301.125</v>
      </c>
      <c r="P21" s="33">
        <v>304.625</v>
      </c>
      <c r="Q21" s="33">
        <v>303</v>
      </c>
      <c r="R21" s="33">
        <v>301.875</v>
      </c>
      <c r="S21" s="33">
        <v>305.375</v>
      </c>
      <c r="T21" s="33">
        <v>305.25</v>
      </c>
      <c r="U21" s="33">
        <v>303.5</v>
      </c>
      <c r="V21" s="33">
        <v>304</v>
      </c>
      <c r="W21" s="33">
        <v>303.125</v>
      </c>
      <c r="X21" s="33">
        <v>304.625</v>
      </c>
      <c r="Y21" s="21">
        <f t="shared" si="0"/>
        <v>303.25</v>
      </c>
    </row>
    <row r="22" spans="1:25" x14ac:dyDescent="0.25">
      <c r="A22">
        <v>1120</v>
      </c>
      <c r="B22">
        <v>0</v>
      </c>
      <c r="C22" t="s">
        <v>41</v>
      </c>
      <c r="D22" s="33">
        <v>302.5</v>
      </c>
      <c r="E22" s="33">
        <v>303.75</v>
      </c>
      <c r="F22" s="33">
        <v>303.625</v>
      </c>
      <c r="G22" s="33">
        <v>304.625</v>
      </c>
      <c r="H22" s="33">
        <v>302.25</v>
      </c>
      <c r="I22" s="33">
        <v>306.125</v>
      </c>
      <c r="J22" s="33">
        <v>303.75</v>
      </c>
      <c r="K22" s="33" t="str">
        <f>+V9</f>
        <v xml:space="preserve"> </v>
      </c>
      <c r="L22" s="33">
        <v>302</v>
      </c>
      <c r="M22" s="33">
        <v>303.625</v>
      </c>
      <c r="N22" s="33">
        <v>302</v>
      </c>
      <c r="O22" s="33">
        <v>302.25</v>
      </c>
      <c r="P22" s="33">
        <v>304.25</v>
      </c>
      <c r="Q22" s="33">
        <v>302.375</v>
      </c>
      <c r="R22" s="33">
        <v>303.125</v>
      </c>
      <c r="S22" s="33">
        <v>303.75</v>
      </c>
      <c r="T22" s="33">
        <v>303.125</v>
      </c>
      <c r="U22" s="33">
        <v>303.125</v>
      </c>
      <c r="V22" s="33">
        <v>301.625</v>
      </c>
      <c r="W22" s="33">
        <v>303.125</v>
      </c>
      <c r="X22" s="33">
        <v>304.875</v>
      </c>
      <c r="Y22" s="21">
        <f t="shared" si="0"/>
        <v>303.29374999999999</v>
      </c>
    </row>
    <row r="23" spans="1:25" x14ac:dyDescent="0.25">
      <c r="A23">
        <v>1140</v>
      </c>
      <c r="B23">
        <v>0</v>
      </c>
      <c r="C23" t="s">
        <v>41</v>
      </c>
      <c r="D23" s="33">
        <v>303.5</v>
      </c>
      <c r="E23" s="33">
        <v>303.875</v>
      </c>
      <c r="F23" s="33">
        <v>303.875</v>
      </c>
      <c r="G23" s="33">
        <v>304.125</v>
      </c>
      <c r="H23" s="33">
        <v>303.375</v>
      </c>
      <c r="I23" s="33">
        <v>303.75</v>
      </c>
      <c r="J23" s="33">
        <v>304.875</v>
      </c>
      <c r="K23" s="33">
        <v>1.1479003072721066</v>
      </c>
      <c r="L23" s="33">
        <v>302.875</v>
      </c>
      <c r="M23" s="33">
        <v>303.75</v>
      </c>
      <c r="N23" s="33">
        <v>303.125</v>
      </c>
      <c r="O23" s="33">
        <v>302.5</v>
      </c>
      <c r="P23" s="33">
        <v>302.375</v>
      </c>
      <c r="Q23" s="33">
        <v>304.625</v>
      </c>
      <c r="R23" s="33">
        <v>300.625</v>
      </c>
      <c r="S23" s="33">
        <v>302.5</v>
      </c>
      <c r="T23" s="33">
        <v>304.125</v>
      </c>
      <c r="U23" s="33">
        <v>303.125</v>
      </c>
      <c r="V23" s="33">
        <v>302.625</v>
      </c>
      <c r="W23" s="33">
        <v>302.75</v>
      </c>
      <c r="X23" s="33">
        <v>304.625</v>
      </c>
      <c r="Y23" s="21">
        <f t="shared" si="0"/>
        <v>288.95942382415586</v>
      </c>
    </row>
    <row r="24" spans="1:25" x14ac:dyDescent="0.25">
      <c r="A24">
        <v>1160</v>
      </c>
      <c r="B24">
        <v>0</v>
      </c>
      <c r="C24" t="s">
        <v>41</v>
      </c>
      <c r="D24" s="33">
        <v>302.875</v>
      </c>
      <c r="E24" s="33">
        <v>304.375</v>
      </c>
      <c r="F24" s="33">
        <v>305.25</v>
      </c>
      <c r="G24" s="33">
        <v>301.5</v>
      </c>
      <c r="H24" s="33">
        <v>302.5</v>
      </c>
      <c r="I24" s="33">
        <v>303.125</v>
      </c>
      <c r="J24" s="33">
        <v>302.875</v>
      </c>
      <c r="L24" s="33">
        <v>302.875</v>
      </c>
      <c r="M24" s="33">
        <v>302.75</v>
      </c>
      <c r="N24" s="33">
        <v>302.5</v>
      </c>
      <c r="O24" s="33">
        <v>303.625</v>
      </c>
      <c r="P24" s="33">
        <v>304</v>
      </c>
      <c r="Q24" s="33">
        <v>302.875</v>
      </c>
      <c r="R24" s="33">
        <v>302.5</v>
      </c>
      <c r="S24" s="33">
        <v>305.125</v>
      </c>
      <c r="T24" s="33">
        <v>304.25</v>
      </c>
      <c r="U24" s="33">
        <v>303.125</v>
      </c>
      <c r="V24" s="33">
        <v>303.5</v>
      </c>
      <c r="W24" s="33">
        <v>304.875</v>
      </c>
      <c r="X24" s="33">
        <v>303</v>
      </c>
      <c r="Y24" s="21">
        <f t="shared" si="0"/>
        <v>303.375</v>
      </c>
    </row>
    <row r="25" spans="1:25" x14ac:dyDescent="0.25">
      <c r="A25">
        <v>1180</v>
      </c>
      <c r="B25">
        <v>0</v>
      </c>
      <c r="C25" t="s">
        <v>41</v>
      </c>
      <c r="D25" s="33">
        <v>303</v>
      </c>
      <c r="E25" s="33">
        <v>301.5</v>
      </c>
      <c r="F25" s="33">
        <v>303.875</v>
      </c>
      <c r="G25" s="33">
        <v>304.125</v>
      </c>
      <c r="H25" s="33">
        <v>303.75</v>
      </c>
      <c r="I25" s="33">
        <v>304.75</v>
      </c>
      <c r="J25" s="33">
        <v>303.25</v>
      </c>
      <c r="L25" s="33">
        <v>303.125</v>
      </c>
      <c r="M25" s="33">
        <v>303.375</v>
      </c>
      <c r="N25" s="33">
        <v>302.375</v>
      </c>
      <c r="O25" s="33">
        <v>301.875</v>
      </c>
      <c r="P25" s="33">
        <v>304.5</v>
      </c>
      <c r="Q25" s="33">
        <v>303.75</v>
      </c>
      <c r="R25" s="33">
        <v>304.125</v>
      </c>
      <c r="S25" s="33">
        <v>302.375</v>
      </c>
      <c r="T25" s="33">
        <v>302.625</v>
      </c>
      <c r="U25" s="33">
        <v>303</v>
      </c>
      <c r="V25" s="33">
        <v>304.875</v>
      </c>
      <c r="W25" s="33">
        <v>303.125</v>
      </c>
      <c r="X25" s="33">
        <v>306</v>
      </c>
      <c r="Y25" s="21">
        <f t="shared" si="0"/>
        <v>303.46875</v>
      </c>
    </row>
    <row r="26" spans="1:25" x14ac:dyDescent="0.25">
      <c r="A26">
        <v>1200</v>
      </c>
      <c r="B26">
        <v>0</v>
      </c>
      <c r="C26" t="s">
        <v>41</v>
      </c>
      <c r="D26" s="33">
        <v>303.75</v>
      </c>
      <c r="E26" s="33">
        <v>303.25</v>
      </c>
      <c r="F26" s="33">
        <v>301.5</v>
      </c>
      <c r="G26" s="33">
        <v>302.375</v>
      </c>
      <c r="H26" s="33">
        <v>304.5</v>
      </c>
      <c r="I26" s="33">
        <v>301.25</v>
      </c>
      <c r="J26" s="33">
        <v>302.875</v>
      </c>
      <c r="L26" s="33">
        <v>302.625</v>
      </c>
      <c r="M26" s="33">
        <v>304.375</v>
      </c>
      <c r="N26" s="33">
        <v>304</v>
      </c>
      <c r="O26" s="33">
        <v>303.125</v>
      </c>
      <c r="P26" s="33">
        <v>303</v>
      </c>
      <c r="Q26" s="33">
        <v>303.25</v>
      </c>
      <c r="R26" s="33">
        <v>302.5</v>
      </c>
      <c r="S26" s="33">
        <v>304.5</v>
      </c>
      <c r="T26" s="33">
        <v>302.375</v>
      </c>
      <c r="U26" s="33">
        <v>300.5</v>
      </c>
      <c r="V26" s="33">
        <v>303.125</v>
      </c>
      <c r="W26" s="33">
        <v>300.75</v>
      </c>
      <c r="X26" s="33">
        <v>306.25</v>
      </c>
      <c r="Y26" s="21">
        <f t="shared" si="0"/>
        <v>302.99374999999998</v>
      </c>
    </row>
    <row r="27" spans="1:25" x14ac:dyDescent="0.25">
      <c r="A27">
        <v>1220</v>
      </c>
      <c r="B27">
        <v>0</v>
      </c>
      <c r="C27" t="s">
        <v>41</v>
      </c>
      <c r="D27" s="33">
        <v>302</v>
      </c>
      <c r="E27" s="33">
        <v>302.125</v>
      </c>
      <c r="F27" s="33">
        <v>303.5</v>
      </c>
      <c r="G27" s="33">
        <v>301.875</v>
      </c>
      <c r="H27" s="33">
        <v>302.75</v>
      </c>
      <c r="I27" s="33">
        <v>302.625</v>
      </c>
      <c r="J27" s="33">
        <v>301.625</v>
      </c>
      <c r="L27" s="33">
        <v>302.25</v>
      </c>
      <c r="M27" s="33">
        <v>302.75</v>
      </c>
      <c r="N27" s="33">
        <v>303.75</v>
      </c>
      <c r="O27" s="33">
        <v>301.875</v>
      </c>
      <c r="P27" s="33">
        <v>302.75</v>
      </c>
      <c r="Q27" s="33">
        <v>304.875</v>
      </c>
      <c r="R27" s="33">
        <v>304.25</v>
      </c>
      <c r="S27" s="33">
        <v>302.75</v>
      </c>
      <c r="T27" s="33">
        <v>303.75</v>
      </c>
      <c r="U27" s="33">
        <v>302.875</v>
      </c>
      <c r="V27" s="33">
        <v>304</v>
      </c>
      <c r="W27" s="33">
        <v>302</v>
      </c>
      <c r="X27" s="33">
        <v>301.625</v>
      </c>
      <c r="Y27" s="21">
        <f t="shared" si="0"/>
        <v>302.8</v>
      </c>
    </row>
    <row r="28" spans="1:25" x14ac:dyDescent="0.25">
      <c r="A28">
        <v>1240</v>
      </c>
      <c r="B28">
        <v>0</v>
      </c>
      <c r="C28" t="s">
        <v>41</v>
      </c>
      <c r="D28" s="33">
        <v>302.625</v>
      </c>
      <c r="E28" s="33">
        <v>305</v>
      </c>
      <c r="F28" s="33">
        <v>303.25</v>
      </c>
      <c r="G28" s="33">
        <v>303.625</v>
      </c>
      <c r="H28" s="33">
        <v>303.5</v>
      </c>
      <c r="I28" s="33">
        <v>304.375</v>
      </c>
      <c r="J28" s="33">
        <v>301.5</v>
      </c>
      <c r="L28" s="33">
        <v>303.5</v>
      </c>
      <c r="M28" s="33">
        <v>302.5</v>
      </c>
      <c r="N28" s="33">
        <v>303.375</v>
      </c>
      <c r="O28" s="33">
        <v>302.875</v>
      </c>
      <c r="P28" s="33">
        <v>303.125</v>
      </c>
      <c r="Q28" s="33">
        <v>305.25</v>
      </c>
      <c r="R28" s="33">
        <v>302.5</v>
      </c>
      <c r="S28" s="33">
        <v>303.625</v>
      </c>
      <c r="T28" s="33">
        <v>303.125</v>
      </c>
      <c r="U28" s="33">
        <v>302.375</v>
      </c>
      <c r="V28" s="33">
        <v>301.75</v>
      </c>
      <c r="W28" s="33">
        <v>302.625</v>
      </c>
      <c r="X28" s="33">
        <v>301.25</v>
      </c>
      <c r="Y28" s="21">
        <f t="shared" si="0"/>
        <v>303.08749999999998</v>
      </c>
    </row>
    <row r="29" spans="1:25" x14ac:dyDescent="0.25">
      <c r="A29">
        <v>1260</v>
      </c>
      <c r="B29">
        <v>0</v>
      </c>
      <c r="C29" t="s">
        <v>41</v>
      </c>
      <c r="D29" s="33">
        <v>302.75</v>
      </c>
      <c r="E29" s="33">
        <v>302.5</v>
      </c>
      <c r="F29" s="33">
        <v>304.375</v>
      </c>
      <c r="G29" s="33">
        <v>302.625</v>
      </c>
      <c r="H29" s="33">
        <v>301.625</v>
      </c>
      <c r="I29" s="33">
        <v>301.875</v>
      </c>
      <c r="J29" s="33">
        <v>302.25</v>
      </c>
      <c r="L29" s="33">
        <v>300.25</v>
      </c>
      <c r="M29" s="33">
        <v>301.375</v>
      </c>
      <c r="N29" s="33">
        <v>301.625</v>
      </c>
      <c r="O29" s="33">
        <v>302.125</v>
      </c>
      <c r="P29" s="33">
        <v>302.25</v>
      </c>
      <c r="Q29" s="33">
        <v>303.125</v>
      </c>
      <c r="R29" s="33">
        <v>302.25</v>
      </c>
      <c r="S29" s="33">
        <v>302.125</v>
      </c>
      <c r="T29" s="33">
        <v>303.375</v>
      </c>
      <c r="U29" s="33">
        <v>303.625</v>
      </c>
      <c r="V29" s="33">
        <v>302.125</v>
      </c>
      <c r="W29" s="33">
        <v>303.5</v>
      </c>
      <c r="X29" s="33">
        <v>303.375</v>
      </c>
      <c r="Y29" s="21">
        <f t="shared" si="0"/>
        <v>302.45625000000001</v>
      </c>
    </row>
    <row r="30" spans="1:25" x14ac:dyDescent="0.25">
      <c r="A30">
        <v>1280</v>
      </c>
      <c r="B30">
        <v>0</v>
      </c>
      <c r="C30" t="s">
        <v>41</v>
      </c>
      <c r="D30" s="33">
        <v>301</v>
      </c>
      <c r="E30" s="33">
        <v>303.5</v>
      </c>
      <c r="F30" s="33">
        <v>302.75</v>
      </c>
      <c r="G30" s="33">
        <v>300.25</v>
      </c>
      <c r="H30" s="33">
        <v>301.875</v>
      </c>
      <c r="I30" s="33">
        <v>302.75</v>
      </c>
      <c r="J30" s="33">
        <v>303.25</v>
      </c>
      <c r="L30" s="33">
        <v>301.625</v>
      </c>
      <c r="M30" s="33">
        <v>304.25</v>
      </c>
      <c r="N30" s="33">
        <v>301.625</v>
      </c>
      <c r="O30" s="33">
        <v>304</v>
      </c>
      <c r="P30" s="33">
        <v>302.75</v>
      </c>
      <c r="Q30" s="33">
        <v>302.625</v>
      </c>
      <c r="R30" s="33">
        <v>303.5</v>
      </c>
      <c r="S30" s="33">
        <v>301.25</v>
      </c>
      <c r="T30" s="33">
        <v>302.75</v>
      </c>
      <c r="U30" s="33">
        <v>303.125</v>
      </c>
      <c r="V30" s="33">
        <v>300.5</v>
      </c>
      <c r="W30" s="33">
        <v>301.5</v>
      </c>
      <c r="X30" s="33">
        <v>302.75</v>
      </c>
      <c r="Y30" s="21">
        <f t="shared" si="0"/>
        <v>302.38125000000002</v>
      </c>
    </row>
    <row r="31" spans="1:25" x14ac:dyDescent="0.25">
      <c r="A31">
        <v>1300</v>
      </c>
      <c r="B31">
        <v>0</v>
      </c>
      <c r="C31" t="s">
        <v>41</v>
      </c>
      <c r="D31" s="33">
        <v>301.75</v>
      </c>
      <c r="E31" s="33">
        <v>303.75</v>
      </c>
      <c r="F31" s="33">
        <v>303.625</v>
      </c>
      <c r="G31" s="33">
        <v>304</v>
      </c>
      <c r="H31" s="33">
        <v>302.375</v>
      </c>
      <c r="I31" s="33">
        <v>302.375</v>
      </c>
      <c r="J31" s="33">
        <v>300</v>
      </c>
      <c r="L31" s="33">
        <v>302.125</v>
      </c>
      <c r="M31" s="33">
        <v>301.875</v>
      </c>
      <c r="N31" s="33">
        <v>301.75</v>
      </c>
      <c r="O31" s="33">
        <v>300.625</v>
      </c>
      <c r="P31" s="33">
        <v>303.875</v>
      </c>
      <c r="Q31" s="33">
        <v>302.125</v>
      </c>
      <c r="R31" s="33">
        <v>302.125</v>
      </c>
      <c r="S31" s="33">
        <v>302.875</v>
      </c>
      <c r="T31" s="33">
        <v>302.75</v>
      </c>
      <c r="U31" s="33">
        <v>302.25</v>
      </c>
      <c r="V31" s="33">
        <v>303</v>
      </c>
      <c r="W31" s="33">
        <v>304.625</v>
      </c>
      <c r="X31" s="33">
        <v>302.25</v>
      </c>
      <c r="Y31" s="21">
        <f t="shared" si="0"/>
        <v>302.50625000000002</v>
      </c>
    </row>
    <row r="32" spans="1:25" x14ac:dyDescent="0.25">
      <c r="A32">
        <v>1320</v>
      </c>
      <c r="B32">
        <v>0</v>
      </c>
      <c r="C32" t="s">
        <v>41</v>
      </c>
      <c r="D32" s="33">
        <v>301.875</v>
      </c>
      <c r="E32" s="33">
        <v>303</v>
      </c>
      <c r="F32" s="33">
        <v>301.5</v>
      </c>
      <c r="G32" s="33">
        <v>300.875</v>
      </c>
      <c r="H32" s="33">
        <v>302.25</v>
      </c>
      <c r="I32" s="33">
        <v>300.625</v>
      </c>
      <c r="J32" s="33">
        <v>301.625</v>
      </c>
      <c r="L32" s="33">
        <v>301.125</v>
      </c>
      <c r="M32" s="33">
        <v>301.75</v>
      </c>
      <c r="N32" s="33">
        <v>300.875</v>
      </c>
      <c r="O32" s="33">
        <v>301.875</v>
      </c>
      <c r="P32" s="33">
        <v>303.5</v>
      </c>
      <c r="Q32" s="33">
        <v>300.625</v>
      </c>
      <c r="R32" s="33">
        <v>304.25</v>
      </c>
      <c r="S32" s="33">
        <v>302.625</v>
      </c>
      <c r="T32" s="33">
        <v>305.625</v>
      </c>
      <c r="U32" s="33">
        <v>302.25</v>
      </c>
      <c r="V32" s="33">
        <v>303.125</v>
      </c>
      <c r="W32" s="33">
        <v>302.75</v>
      </c>
      <c r="X32" s="33">
        <v>302.625</v>
      </c>
      <c r="Y32" s="21">
        <f t="shared" si="0"/>
        <v>302.23750000000001</v>
      </c>
    </row>
    <row r="33" spans="1:25" x14ac:dyDescent="0.25">
      <c r="A33">
        <v>1340</v>
      </c>
      <c r="B33">
        <v>0</v>
      </c>
      <c r="C33" t="s">
        <v>41</v>
      </c>
      <c r="D33" s="33">
        <v>303</v>
      </c>
      <c r="E33" s="33">
        <v>302.125</v>
      </c>
      <c r="F33" s="33">
        <v>301.375</v>
      </c>
      <c r="G33" s="33">
        <v>303.375</v>
      </c>
      <c r="H33" s="33">
        <v>303.375</v>
      </c>
      <c r="I33" s="33">
        <v>303</v>
      </c>
      <c r="J33" s="33">
        <v>305.125</v>
      </c>
      <c r="L33" s="33">
        <v>304.625</v>
      </c>
      <c r="M33" s="33">
        <v>303.375</v>
      </c>
      <c r="N33" s="33">
        <v>303.25</v>
      </c>
      <c r="O33" s="33">
        <v>301.75</v>
      </c>
      <c r="P33" s="33">
        <v>302.625</v>
      </c>
      <c r="Q33" s="33">
        <v>303.375</v>
      </c>
      <c r="R33" s="33">
        <v>303.5</v>
      </c>
      <c r="S33" s="33">
        <v>301.5</v>
      </c>
      <c r="T33" s="33">
        <v>302.25</v>
      </c>
      <c r="U33" s="33">
        <v>303.75</v>
      </c>
      <c r="V33" s="33">
        <v>303</v>
      </c>
      <c r="W33" s="33">
        <v>303.625</v>
      </c>
      <c r="X33" s="33">
        <v>301.5</v>
      </c>
      <c r="Y33" s="21">
        <f t="shared" si="0"/>
        <v>302.97500000000002</v>
      </c>
    </row>
    <row r="34" spans="1:25" x14ac:dyDescent="0.25">
      <c r="A34">
        <v>1360</v>
      </c>
      <c r="B34">
        <v>0</v>
      </c>
      <c r="C34" t="s">
        <v>41</v>
      </c>
      <c r="D34" s="33">
        <v>303.75</v>
      </c>
      <c r="E34" s="33">
        <v>302.875</v>
      </c>
      <c r="F34" s="33">
        <v>303</v>
      </c>
      <c r="G34" s="33">
        <v>302</v>
      </c>
      <c r="H34" s="33">
        <v>301.375</v>
      </c>
      <c r="I34" s="33">
        <v>302</v>
      </c>
      <c r="J34" s="33">
        <v>301.875</v>
      </c>
      <c r="L34" s="33">
        <v>303.5</v>
      </c>
      <c r="M34" s="33">
        <v>301.75</v>
      </c>
      <c r="N34" s="33">
        <v>302.75</v>
      </c>
      <c r="O34" s="33">
        <v>302.25</v>
      </c>
      <c r="P34" s="33">
        <v>302.875</v>
      </c>
      <c r="Q34" s="33">
        <v>300.75</v>
      </c>
      <c r="R34" s="33">
        <v>301.875</v>
      </c>
      <c r="S34" s="33">
        <v>301</v>
      </c>
      <c r="T34" s="33">
        <v>302.25</v>
      </c>
      <c r="U34" s="33">
        <v>299.625</v>
      </c>
      <c r="V34" s="33">
        <v>302.75</v>
      </c>
      <c r="W34" s="33">
        <v>304</v>
      </c>
      <c r="X34" s="33">
        <v>302.5</v>
      </c>
      <c r="Y34" s="21">
        <f t="shared" si="0"/>
        <v>302.23750000000001</v>
      </c>
    </row>
    <row r="35" spans="1:25" x14ac:dyDescent="0.25">
      <c r="A35">
        <v>1380</v>
      </c>
      <c r="B35">
        <v>0</v>
      </c>
      <c r="C35" t="s">
        <v>41</v>
      </c>
      <c r="D35" s="33">
        <v>303.125</v>
      </c>
      <c r="E35" s="33">
        <v>300.125</v>
      </c>
      <c r="F35" s="33">
        <v>300.75</v>
      </c>
      <c r="G35" s="33">
        <v>303.375</v>
      </c>
      <c r="H35" s="33">
        <v>300.5</v>
      </c>
      <c r="I35" s="33">
        <v>301.375</v>
      </c>
      <c r="J35" s="33">
        <v>301.5</v>
      </c>
      <c r="L35" s="33">
        <v>302.25</v>
      </c>
      <c r="M35" s="33">
        <v>303.875</v>
      </c>
      <c r="N35" s="33">
        <v>302.625</v>
      </c>
      <c r="O35" s="33">
        <v>302.25</v>
      </c>
      <c r="P35" s="33">
        <v>306.125</v>
      </c>
      <c r="Q35" s="33">
        <v>301.25</v>
      </c>
      <c r="R35" s="33">
        <v>301.5</v>
      </c>
      <c r="S35" s="33">
        <v>303</v>
      </c>
      <c r="T35" s="33">
        <v>304.125</v>
      </c>
      <c r="U35" s="33">
        <v>303.25</v>
      </c>
      <c r="V35" s="33">
        <v>303.125</v>
      </c>
      <c r="W35" s="33">
        <v>303.5</v>
      </c>
      <c r="X35" s="33">
        <v>301.375</v>
      </c>
      <c r="Y35" s="21">
        <f t="shared" si="0"/>
        <v>302.45</v>
      </c>
    </row>
    <row r="36" spans="1:25" x14ac:dyDescent="0.25">
      <c r="A36">
        <v>1400</v>
      </c>
      <c r="B36">
        <v>0</v>
      </c>
      <c r="C36" t="s">
        <v>41</v>
      </c>
      <c r="D36" s="33">
        <v>301</v>
      </c>
      <c r="E36" s="33">
        <v>301.25</v>
      </c>
      <c r="F36" s="33">
        <v>301.75</v>
      </c>
      <c r="G36" s="33">
        <v>304.25</v>
      </c>
      <c r="H36" s="33">
        <v>304.375</v>
      </c>
      <c r="I36" s="33">
        <v>302</v>
      </c>
      <c r="J36" s="33">
        <v>301.75</v>
      </c>
      <c r="L36" s="33">
        <v>304</v>
      </c>
      <c r="M36" s="33">
        <v>302.875</v>
      </c>
      <c r="N36" s="33">
        <v>303.125</v>
      </c>
      <c r="O36" s="33">
        <v>302.25</v>
      </c>
      <c r="P36" s="33">
        <v>303.5</v>
      </c>
      <c r="Q36" s="33">
        <v>302.375</v>
      </c>
      <c r="R36" s="33">
        <v>303.375</v>
      </c>
      <c r="S36" s="33">
        <v>303.5</v>
      </c>
      <c r="T36" s="33">
        <v>302.875</v>
      </c>
      <c r="U36" s="33">
        <v>302</v>
      </c>
      <c r="V36" s="33">
        <v>303.625</v>
      </c>
      <c r="W36" s="33">
        <v>301.875</v>
      </c>
      <c r="X36" s="33">
        <v>301.125</v>
      </c>
      <c r="Y36" s="21">
        <f t="shared" si="0"/>
        <v>302.64375000000001</v>
      </c>
    </row>
    <row r="37" spans="1:25" x14ac:dyDescent="0.25">
      <c r="A37">
        <v>1420</v>
      </c>
      <c r="B37">
        <v>0</v>
      </c>
      <c r="C37" t="s">
        <v>41</v>
      </c>
      <c r="D37" s="33">
        <v>302.625</v>
      </c>
      <c r="E37" s="33">
        <v>302.5</v>
      </c>
      <c r="F37" s="33">
        <v>302.25</v>
      </c>
      <c r="G37" s="33">
        <v>301.75</v>
      </c>
      <c r="H37" s="33">
        <v>303.375</v>
      </c>
      <c r="I37" s="33">
        <v>301.75</v>
      </c>
      <c r="J37" s="33">
        <v>303.375</v>
      </c>
      <c r="L37" s="33">
        <v>301.625</v>
      </c>
      <c r="M37" s="33">
        <v>304.125</v>
      </c>
      <c r="N37" s="33">
        <v>303.25</v>
      </c>
      <c r="O37" s="33">
        <v>304.625</v>
      </c>
      <c r="P37" s="33">
        <v>303.5</v>
      </c>
      <c r="Q37" s="33">
        <v>303.875</v>
      </c>
      <c r="R37" s="33">
        <v>303.625</v>
      </c>
      <c r="S37" s="33">
        <v>303.5</v>
      </c>
      <c r="T37" s="33">
        <v>302</v>
      </c>
      <c r="U37" s="33">
        <v>301.25</v>
      </c>
      <c r="V37" s="33">
        <v>303.875</v>
      </c>
      <c r="W37" s="33">
        <v>301</v>
      </c>
      <c r="X37" s="33">
        <v>303</v>
      </c>
      <c r="Y37" s="21">
        <f t="shared" si="0"/>
        <v>302.84375</v>
      </c>
    </row>
    <row r="38" spans="1:25" x14ac:dyDescent="0.25">
      <c r="A38">
        <v>1440</v>
      </c>
      <c r="B38">
        <v>0</v>
      </c>
      <c r="C38" t="s">
        <v>41</v>
      </c>
      <c r="D38" s="33">
        <v>303.75</v>
      </c>
      <c r="E38" s="33">
        <v>303.5</v>
      </c>
      <c r="F38" s="33">
        <v>305.25</v>
      </c>
      <c r="G38" s="33">
        <v>303.875</v>
      </c>
      <c r="H38" s="33">
        <v>302.625</v>
      </c>
      <c r="I38" s="33">
        <v>304.25</v>
      </c>
      <c r="J38" s="33">
        <v>302.375</v>
      </c>
      <c r="L38" s="33">
        <v>302</v>
      </c>
      <c r="M38" s="33">
        <v>303.25</v>
      </c>
      <c r="N38" s="33">
        <v>302</v>
      </c>
      <c r="O38" s="33">
        <v>300.75</v>
      </c>
      <c r="P38" s="33">
        <v>301.75</v>
      </c>
      <c r="Q38" s="33">
        <v>303</v>
      </c>
      <c r="R38" s="33">
        <v>303.375</v>
      </c>
      <c r="S38" s="33">
        <v>303</v>
      </c>
      <c r="T38" s="33">
        <v>302</v>
      </c>
      <c r="U38" s="33">
        <v>300.5</v>
      </c>
      <c r="V38" s="33">
        <v>302.125</v>
      </c>
      <c r="W38" s="33">
        <v>302.875</v>
      </c>
      <c r="X38" s="33">
        <v>302</v>
      </c>
      <c r="Y38" s="21">
        <f t="shared" si="0"/>
        <v>302.71249999999998</v>
      </c>
    </row>
    <row r="39" spans="1:25" x14ac:dyDescent="0.25">
      <c r="A39">
        <v>1460</v>
      </c>
      <c r="B39">
        <v>0</v>
      </c>
      <c r="C39" t="s">
        <v>41</v>
      </c>
      <c r="D39" s="33">
        <v>302.875</v>
      </c>
      <c r="E39" s="33">
        <v>301.75</v>
      </c>
      <c r="F39" s="33">
        <v>303.25</v>
      </c>
      <c r="G39" s="33">
        <v>302.75</v>
      </c>
      <c r="H39" s="33">
        <v>302</v>
      </c>
      <c r="I39" s="33">
        <v>302.125</v>
      </c>
      <c r="J39" s="33">
        <v>301.75</v>
      </c>
      <c r="L39" s="33">
        <v>303.875</v>
      </c>
      <c r="M39" s="33">
        <v>303.875</v>
      </c>
      <c r="N39" s="33">
        <v>304.125</v>
      </c>
      <c r="O39" s="33">
        <v>303.5</v>
      </c>
      <c r="P39" s="33">
        <v>303.25</v>
      </c>
      <c r="Q39" s="33">
        <v>303.25</v>
      </c>
      <c r="R39" s="33">
        <v>300.375</v>
      </c>
      <c r="S39" s="33">
        <v>302.375</v>
      </c>
      <c r="T39" s="33">
        <v>303.25</v>
      </c>
      <c r="U39" s="33">
        <v>304.875</v>
      </c>
      <c r="V39" s="33">
        <v>304.25</v>
      </c>
      <c r="W39" s="33">
        <v>302.25</v>
      </c>
      <c r="X39" s="33">
        <v>302.125</v>
      </c>
      <c r="Y39" s="21">
        <f t="shared" si="0"/>
        <v>302.89375000000001</v>
      </c>
    </row>
    <row r="40" spans="1:25" x14ac:dyDescent="0.25">
      <c r="A40">
        <v>1480</v>
      </c>
      <c r="B40">
        <v>0</v>
      </c>
      <c r="C40" t="s">
        <v>41</v>
      </c>
      <c r="D40" s="33">
        <v>301.375</v>
      </c>
      <c r="E40" s="33">
        <v>301.625</v>
      </c>
      <c r="F40" s="33">
        <v>304</v>
      </c>
      <c r="G40" s="33">
        <v>303.625</v>
      </c>
      <c r="H40" s="33">
        <v>303.25</v>
      </c>
      <c r="I40" s="33">
        <v>302.625</v>
      </c>
      <c r="J40" s="33">
        <v>303.625</v>
      </c>
      <c r="L40" s="33">
        <v>303.375</v>
      </c>
      <c r="M40" s="33">
        <v>302.125</v>
      </c>
      <c r="N40" s="33">
        <v>303.625</v>
      </c>
      <c r="O40" s="33">
        <v>301.25</v>
      </c>
      <c r="P40" s="33">
        <v>304.25</v>
      </c>
      <c r="Q40" s="33">
        <v>301.375</v>
      </c>
      <c r="R40" s="33">
        <v>305</v>
      </c>
      <c r="S40" s="33">
        <v>303.125</v>
      </c>
      <c r="T40" s="33">
        <v>303.625</v>
      </c>
      <c r="U40" s="33">
        <v>300.625</v>
      </c>
      <c r="V40" s="33">
        <v>300.875</v>
      </c>
      <c r="W40" s="33">
        <v>301.375</v>
      </c>
      <c r="X40" s="33">
        <v>300.5</v>
      </c>
      <c r="Y40" s="21">
        <f t="shared" si="0"/>
        <v>302.5625</v>
      </c>
    </row>
    <row r="41" spans="1:25" x14ac:dyDescent="0.25">
      <c r="A41">
        <v>1500</v>
      </c>
      <c r="B41">
        <v>0</v>
      </c>
      <c r="C41" t="s">
        <v>41</v>
      </c>
      <c r="D41" s="33">
        <v>302.375</v>
      </c>
      <c r="E41" s="33">
        <v>303</v>
      </c>
      <c r="F41" s="33">
        <v>303</v>
      </c>
      <c r="G41" s="33">
        <v>302</v>
      </c>
      <c r="H41" s="33">
        <v>302.625</v>
      </c>
      <c r="I41" s="33">
        <v>302.875</v>
      </c>
      <c r="J41" s="33">
        <v>302.625</v>
      </c>
      <c r="L41" s="33">
        <v>303.625</v>
      </c>
      <c r="M41" s="33">
        <v>304.875</v>
      </c>
      <c r="N41" s="33">
        <v>304.5</v>
      </c>
      <c r="O41" s="33">
        <v>301.75</v>
      </c>
      <c r="P41" s="33">
        <v>303.375</v>
      </c>
      <c r="Q41" s="33">
        <v>302.75</v>
      </c>
      <c r="R41" s="33">
        <v>302.5</v>
      </c>
      <c r="S41" s="33">
        <v>301.25</v>
      </c>
      <c r="T41" s="33">
        <v>304.5</v>
      </c>
      <c r="U41" s="33">
        <v>302.875</v>
      </c>
      <c r="V41" s="33">
        <v>303.25</v>
      </c>
      <c r="W41" s="33">
        <v>303.375</v>
      </c>
      <c r="X41" s="33">
        <v>302</v>
      </c>
      <c r="Y41" s="21">
        <f t="shared" si="0"/>
        <v>302.95625000000001</v>
      </c>
    </row>
    <row r="42" spans="1:25" x14ac:dyDescent="0.25">
      <c r="A42">
        <v>1520</v>
      </c>
      <c r="B42">
        <v>0</v>
      </c>
      <c r="C42" t="s">
        <v>41</v>
      </c>
      <c r="D42" s="33">
        <v>302.25</v>
      </c>
      <c r="E42" s="33">
        <v>303.125</v>
      </c>
      <c r="F42" s="33">
        <v>303.75</v>
      </c>
      <c r="G42" s="33">
        <v>302.5</v>
      </c>
      <c r="H42" s="33">
        <v>303</v>
      </c>
      <c r="I42" s="33">
        <v>303.125</v>
      </c>
      <c r="J42" s="33">
        <v>303.875</v>
      </c>
      <c r="L42" s="33">
        <v>301.375</v>
      </c>
      <c r="M42" s="33">
        <v>303.625</v>
      </c>
      <c r="N42" s="33">
        <v>305.25</v>
      </c>
      <c r="O42" s="33">
        <v>303.125</v>
      </c>
      <c r="P42" s="33">
        <v>304.125</v>
      </c>
      <c r="Q42" s="33">
        <v>302.375</v>
      </c>
      <c r="R42" s="33">
        <v>305</v>
      </c>
      <c r="S42" s="33">
        <v>304.5</v>
      </c>
      <c r="T42" s="33">
        <v>302</v>
      </c>
      <c r="U42" s="33">
        <v>304.75</v>
      </c>
      <c r="V42" s="33">
        <v>302.875</v>
      </c>
      <c r="W42" s="33">
        <v>302.625</v>
      </c>
      <c r="X42" s="33">
        <v>301</v>
      </c>
      <c r="Y42" s="21">
        <f t="shared" si="0"/>
        <v>303.21249999999998</v>
      </c>
    </row>
    <row r="43" spans="1:25" x14ac:dyDescent="0.25">
      <c r="A43">
        <v>1540</v>
      </c>
      <c r="B43">
        <v>0</v>
      </c>
      <c r="C43" t="s">
        <v>41</v>
      </c>
      <c r="D43" s="33">
        <v>303.75</v>
      </c>
      <c r="E43" s="33">
        <v>305</v>
      </c>
      <c r="F43" s="33">
        <v>302.125</v>
      </c>
      <c r="G43" s="33">
        <v>303.625</v>
      </c>
      <c r="H43" s="33">
        <v>302.125</v>
      </c>
      <c r="I43" s="33">
        <v>304.125</v>
      </c>
      <c r="J43" s="33">
        <v>303.125</v>
      </c>
      <c r="L43" s="33">
        <v>302</v>
      </c>
      <c r="M43" s="33">
        <v>302.75</v>
      </c>
      <c r="N43" s="33">
        <v>304</v>
      </c>
      <c r="O43" s="33">
        <v>302.75</v>
      </c>
      <c r="P43" s="33">
        <v>302.125</v>
      </c>
      <c r="Q43" s="33">
        <v>301.625</v>
      </c>
      <c r="R43" s="33">
        <v>302.625</v>
      </c>
      <c r="S43" s="33">
        <v>303</v>
      </c>
      <c r="T43" s="33">
        <v>306</v>
      </c>
      <c r="U43" s="33">
        <v>303.25</v>
      </c>
      <c r="V43" s="33">
        <v>303</v>
      </c>
      <c r="W43" s="33">
        <v>303.125</v>
      </c>
      <c r="X43" s="33">
        <v>303.25</v>
      </c>
      <c r="Y43" s="21">
        <f t="shared" si="0"/>
        <v>303.16874999999999</v>
      </c>
    </row>
    <row r="44" spans="1:25" x14ac:dyDescent="0.25">
      <c r="A44">
        <v>1560</v>
      </c>
      <c r="B44">
        <v>0</v>
      </c>
      <c r="C44" t="s">
        <v>41</v>
      </c>
      <c r="D44" s="33">
        <v>301.75</v>
      </c>
      <c r="E44" s="33">
        <v>301.75</v>
      </c>
      <c r="F44" s="33">
        <v>303.25</v>
      </c>
      <c r="G44" s="33">
        <v>303.25</v>
      </c>
      <c r="H44" s="33">
        <v>301.25</v>
      </c>
      <c r="I44" s="33">
        <v>302.5</v>
      </c>
      <c r="J44" s="33">
        <v>301.125</v>
      </c>
      <c r="L44" s="33">
        <v>301</v>
      </c>
      <c r="M44" s="33">
        <v>303.75</v>
      </c>
      <c r="N44" s="33">
        <v>304.75</v>
      </c>
      <c r="O44" s="33">
        <v>303</v>
      </c>
      <c r="P44" s="33">
        <v>303.875</v>
      </c>
      <c r="Q44" s="33">
        <v>302.375</v>
      </c>
      <c r="R44" s="33">
        <v>304.125</v>
      </c>
      <c r="S44" s="33">
        <v>302</v>
      </c>
      <c r="T44" s="33">
        <v>301</v>
      </c>
      <c r="U44" s="33">
        <v>303.75</v>
      </c>
      <c r="V44" s="33">
        <v>300.75</v>
      </c>
      <c r="W44" s="33">
        <v>302.25</v>
      </c>
      <c r="X44" s="33">
        <v>303.125</v>
      </c>
      <c r="Y44" s="21">
        <f t="shared" si="0"/>
        <v>302.53125</v>
      </c>
    </row>
    <row r="45" spans="1:25" x14ac:dyDescent="0.25">
      <c r="A45">
        <v>1580</v>
      </c>
      <c r="B45">
        <v>0</v>
      </c>
      <c r="C45" t="s">
        <v>41</v>
      </c>
      <c r="D45" s="33">
        <v>302.5</v>
      </c>
      <c r="E45" s="33">
        <v>302.25</v>
      </c>
      <c r="F45" s="33">
        <v>302.25</v>
      </c>
      <c r="G45" s="33">
        <v>301.875</v>
      </c>
      <c r="H45" s="33">
        <v>304.875</v>
      </c>
      <c r="I45" s="33">
        <v>304.125</v>
      </c>
      <c r="J45" s="33">
        <v>304.125</v>
      </c>
      <c r="L45" s="33">
        <v>302.125</v>
      </c>
      <c r="M45" s="33">
        <v>301.375</v>
      </c>
      <c r="N45" s="33">
        <v>302.875</v>
      </c>
      <c r="O45" s="33">
        <v>304.375</v>
      </c>
      <c r="P45" s="33">
        <v>304.875</v>
      </c>
      <c r="Q45" s="33">
        <v>304.25</v>
      </c>
      <c r="R45" s="33">
        <v>304.625</v>
      </c>
      <c r="S45" s="33">
        <v>303</v>
      </c>
      <c r="T45" s="33">
        <v>301.75</v>
      </c>
      <c r="U45" s="33">
        <v>305.375</v>
      </c>
      <c r="V45" s="33">
        <v>303.75</v>
      </c>
      <c r="W45" s="33">
        <v>303.5</v>
      </c>
      <c r="X45" s="33">
        <v>304.5</v>
      </c>
      <c r="Y45" s="21">
        <f t="shared" si="0"/>
        <v>303.41874999999999</v>
      </c>
    </row>
    <row r="46" spans="1:25" x14ac:dyDescent="0.25">
      <c r="A46">
        <v>1600</v>
      </c>
      <c r="B46">
        <v>0</v>
      </c>
      <c r="C46" t="s">
        <v>41</v>
      </c>
      <c r="D46" s="33">
        <v>302</v>
      </c>
      <c r="E46" s="33">
        <v>304.125</v>
      </c>
      <c r="F46" s="33">
        <v>304.625</v>
      </c>
      <c r="G46" s="33">
        <v>302.375</v>
      </c>
      <c r="H46" s="33">
        <v>304.125</v>
      </c>
      <c r="I46" s="33">
        <v>304.875</v>
      </c>
      <c r="J46" s="33">
        <v>302.875</v>
      </c>
      <c r="L46" s="33">
        <v>303.25</v>
      </c>
      <c r="M46" s="33">
        <v>304.625</v>
      </c>
      <c r="N46" s="33">
        <v>302.625</v>
      </c>
      <c r="O46" s="33">
        <v>300.875</v>
      </c>
      <c r="P46" s="33">
        <v>303.125</v>
      </c>
      <c r="Q46" s="33">
        <v>304.875</v>
      </c>
      <c r="R46" s="33">
        <v>303.75</v>
      </c>
      <c r="S46" s="33">
        <v>304.75</v>
      </c>
      <c r="T46" s="33">
        <v>303.625</v>
      </c>
      <c r="U46" s="33">
        <v>304.75</v>
      </c>
      <c r="V46" s="33">
        <v>302.5</v>
      </c>
      <c r="W46" s="33">
        <v>303.5</v>
      </c>
      <c r="X46" s="33">
        <v>303.75</v>
      </c>
      <c r="Y46" s="21">
        <f t="shared" si="0"/>
        <v>303.55</v>
      </c>
    </row>
    <row r="47" spans="1:25" x14ac:dyDescent="0.25">
      <c r="A47">
        <v>1620</v>
      </c>
      <c r="B47">
        <v>0</v>
      </c>
      <c r="C47" t="s">
        <v>41</v>
      </c>
      <c r="D47" s="33">
        <v>304.375</v>
      </c>
      <c r="E47" s="33">
        <v>303.25</v>
      </c>
      <c r="F47" s="33">
        <v>303.5</v>
      </c>
      <c r="G47" s="33">
        <v>303</v>
      </c>
      <c r="H47" s="33">
        <v>302.875</v>
      </c>
      <c r="I47" s="33">
        <v>305.875</v>
      </c>
      <c r="J47" s="33">
        <v>303.25</v>
      </c>
      <c r="L47" s="33">
        <v>304</v>
      </c>
      <c r="M47" s="33">
        <v>305</v>
      </c>
      <c r="N47" s="33">
        <v>305</v>
      </c>
      <c r="O47" s="33">
        <v>303.75</v>
      </c>
      <c r="P47" s="33">
        <v>304.625</v>
      </c>
      <c r="Q47" s="33">
        <v>303.125</v>
      </c>
      <c r="R47" s="33">
        <v>303.25</v>
      </c>
      <c r="S47" s="33">
        <v>304.625</v>
      </c>
      <c r="T47" s="33">
        <v>305</v>
      </c>
      <c r="U47" s="33">
        <v>305.375</v>
      </c>
      <c r="V47" s="33">
        <v>303.25</v>
      </c>
      <c r="W47" s="33">
        <v>305.375</v>
      </c>
      <c r="X47" s="33">
        <v>304.25</v>
      </c>
      <c r="Y47" s="21">
        <f t="shared" si="0"/>
        <v>304.13749999999999</v>
      </c>
    </row>
    <row r="48" spans="1:25" x14ac:dyDescent="0.25">
      <c r="A48">
        <v>1640</v>
      </c>
      <c r="B48">
        <v>0</v>
      </c>
      <c r="C48" t="s">
        <v>41</v>
      </c>
      <c r="D48" s="33">
        <v>306.375</v>
      </c>
      <c r="E48" s="33">
        <v>304.125</v>
      </c>
      <c r="F48" s="33">
        <v>303.5</v>
      </c>
      <c r="G48" s="33">
        <v>304.5</v>
      </c>
      <c r="H48" s="33">
        <v>303</v>
      </c>
      <c r="I48" s="33">
        <v>304.875</v>
      </c>
      <c r="J48" s="33">
        <v>307.125</v>
      </c>
      <c r="L48" s="33">
        <v>305.5</v>
      </c>
      <c r="M48" s="33">
        <v>303.875</v>
      </c>
      <c r="N48" s="33">
        <v>305.25</v>
      </c>
      <c r="O48" s="33">
        <v>305.5</v>
      </c>
      <c r="P48" s="33">
        <v>304.75</v>
      </c>
      <c r="Q48" s="33">
        <v>304.125</v>
      </c>
      <c r="R48" s="33">
        <v>303</v>
      </c>
      <c r="S48" s="33">
        <v>305.625</v>
      </c>
      <c r="T48" s="33">
        <v>304.25</v>
      </c>
      <c r="U48" s="33">
        <v>305</v>
      </c>
      <c r="V48" s="33">
        <v>305</v>
      </c>
      <c r="W48" s="33">
        <v>303</v>
      </c>
      <c r="X48" s="33">
        <v>305.125</v>
      </c>
      <c r="Y48" s="21">
        <f t="shared" si="0"/>
        <v>304.67500000000001</v>
      </c>
    </row>
    <row r="49" spans="1:25" x14ac:dyDescent="0.25">
      <c r="A49">
        <v>1660</v>
      </c>
      <c r="B49">
        <v>0</v>
      </c>
      <c r="C49" t="s">
        <v>41</v>
      </c>
      <c r="D49" s="33">
        <v>307.375</v>
      </c>
      <c r="E49" s="33">
        <v>306.625</v>
      </c>
      <c r="F49" s="33">
        <v>306.25</v>
      </c>
      <c r="G49" s="33">
        <v>303</v>
      </c>
      <c r="H49" s="33">
        <v>308.875</v>
      </c>
      <c r="I49" s="33">
        <v>304.25</v>
      </c>
      <c r="J49" s="33">
        <v>304.75</v>
      </c>
      <c r="L49" s="33">
        <v>306.25</v>
      </c>
      <c r="M49" s="33">
        <v>302.25</v>
      </c>
      <c r="N49" s="33">
        <v>304.25</v>
      </c>
      <c r="O49" s="33">
        <v>306.125</v>
      </c>
      <c r="P49" s="33">
        <v>306.875</v>
      </c>
      <c r="Q49" s="33">
        <v>306.875</v>
      </c>
      <c r="R49" s="33">
        <v>304.875</v>
      </c>
      <c r="S49" s="33">
        <v>304.5</v>
      </c>
      <c r="T49" s="33">
        <v>305.875</v>
      </c>
      <c r="U49" s="33">
        <v>305.75</v>
      </c>
      <c r="V49" s="33">
        <v>306.25</v>
      </c>
      <c r="W49" s="33">
        <v>304.125</v>
      </c>
      <c r="X49" s="33">
        <v>303.625</v>
      </c>
      <c r="Y49" s="21">
        <f t="shared" si="0"/>
        <v>305.4375</v>
      </c>
    </row>
    <row r="50" spans="1:25" x14ac:dyDescent="0.25">
      <c r="A50">
        <v>1680</v>
      </c>
      <c r="B50">
        <v>0</v>
      </c>
      <c r="C50" t="s">
        <v>41</v>
      </c>
      <c r="D50" s="33">
        <v>306.375</v>
      </c>
      <c r="E50" s="33">
        <v>305.5</v>
      </c>
      <c r="F50" s="33">
        <v>305.75</v>
      </c>
      <c r="G50" s="33">
        <v>306.75</v>
      </c>
      <c r="H50" s="33">
        <v>305.125</v>
      </c>
      <c r="I50" s="33">
        <v>305.25</v>
      </c>
      <c r="J50" s="33">
        <v>304.875</v>
      </c>
      <c r="L50" s="33">
        <v>305</v>
      </c>
      <c r="M50" s="33">
        <v>305</v>
      </c>
      <c r="N50" s="33">
        <v>306.5</v>
      </c>
      <c r="O50" s="33">
        <v>307</v>
      </c>
      <c r="P50" s="33">
        <v>305</v>
      </c>
      <c r="Q50" s="33">
        <v>306.5</v>
      </c>
      <c r="R50" s="33">
        <v>304.375</v>
      </c>
      <c r="S50" s="33">
        <v>306.625</v>
      </c>
      <c r="T50" s="33">
        <v>308.625</v>
      </c>
      <c r="U50" s="33">
        <v>306.875</v>
      </c>
      <c r="V50" s="33">
        <v>305.25</v>
      </c>
      <c r="W50" s="33">
        <v>303.875</v>
      </c>
      <c r="X50" s="33">
        <v>304.25</v>
      </c>
      <c r="Y50" s="21">
        <f t="shared" si="0"/>
        <v>305.72500000000002</v>
      </c>
    </row>
    <row r="51" spans="1:25" x14ac:dyDescent="0.25">
      <c r="A51">
        <v>1700</v>
      </c>
      <c r="B51">
        <v>0</v>
      </c>
      <c r="C51" t="s">
        <v>41</v>
      </c>
      <c r="D51" s="33">
        <v>307.875</v>
      </c>
      <c r="E51" s="33">
        <v>308.375</v>
      </c>
      <c r="F51" s="33">
        <v>305.125</v>
      </c>
      <c r="G51" s="33">
        <v>307.125</v>
      </c>
      <c r="H51" s="33">
        <v>308.125</v>
      </c>
      <c r="I51" s="33">
        <v>306.625</v>
      </c>
      <c r="J51" s="33">
        <v>309.625</v>
      </c>
      <c r="L51" s="33">
        <v>305.375</v>
      </c>
      <c r="M51" s="33">
        <v>306.25</v>
      </c>
      <c r="N51" s="33">
        <v>306.5</v>
      </c>
      <c r="O51" s="33">
        <v>306.125</v>
      </c>
      <c r="P51" s="33">
        <v>303.125</v>
      </c>
      <c r="Q51" s="33">
        <v>302.25</v>
      </c>
      <c r="R51" s="33">
        <v>308.125</v>
      </c>
      <c r="S51" s="33">
        <v>307</v>
      </c>
      <c r="T51" s="33">
        <v>305.875</v>
      </c>
      <c r="U51" s="33">
        <v>304</v>
      </c>
      <c r="V51" s="33">
        <v>305.5</v>
      </c>
      <c r="W51" s="33">
        <v>307.375</v>
      </c>
      <c r="X51" s="33">
        <v>306.375</v>
      </c>
      <c r="Y51" s="21">
        <f t="shared" si="0"/>
        <v>306.33749999999998</v>
      </c>
    </row>
    <row r="52" spans="1:25" x14ac:dyDescent="0.25">
      <c r="A52">
        <v>1720</v>
      </c>
      <c r="B52">
        <v>0</v>
      </c>
      <c r="C52" t="s">
        <v>41</v>
      </c>
      <c r="D52" s="33">
        <v>308.25</v>
      </c>
      <c r="E52" s="33">
        <v>305</v>
      </c>
      <c r="F52" s="33">
        <v>305.5</v>
      </c>
      <c r="G52" s="33">
        <v>306.5</v>
      </c>
      <c r="H52" s="33">
        <v>307.75</v>
      </c>
      <c r="I52" s="33">
        <v>308.125</v>
      </c>
      <c r="J52" s="33">
        <v>309.125</v>
      </c>
      <c r="L52" s="33">
        <v>307.875</v>
      </c>
      <c r="M52" s="33">
        <v>307.625</v>
      </c>
      <c r="N52" s="33">
        <v>308.375</v>
      </c>
      <c r="O52" s="33">
        <v>306.5</v>
      </c>
      <c r="P52" s="33">
        <v>306.25</v>
      </c>
      <c r="Q52" s="33">
        <v>308.25</v>
      </c>
      <c r="R52" s="33">
        <v>306.75</v>
      </c>
      <c r="S52" s="33">
        <v>307.375</v>
      </c>
      <c r="T52" s="33">
        <v>306.375</v>
      </c>
      <c r="U52" s="33">
        <v>307.25</v>
      </c>
      <c r="V52" s="33">
        <v>306.75</v>
      </c>
      <c r="W52" s="33">
        <v>305.5</v>
      </c>
      <c r="X52" s="33">
        <v>307.125</v>
      </c>
      <c r="Y52" s="21">
        <f t="shared" si="0"/>
        <v>307.11250000000001</v>
      </c>
    </row>
    <row r="53" spans="1:25" x14ac:dyDescent="0.25">
      <c r="A53">
        <v>1740</v>
      </c>
      <c r="B53">
        <v>0</v>
      </c>
      <c r="C53" t="s">
        <v>41</v>
      </c>
      <c r="D53" s="33">
        <v>309.125</v>
      </c>
      <c r="E53" s="33">
        <v>308.375</v>
      </c>
      <c r="F53" s="33">
        <v>308.875</v>
      </c>
      <c r="G53" s="33">
        <v>307.375</v>
      </c>
      <c r="H53" s="33">
        <v>309.375</v>
      </c>
      <c r="I53" s="33">
        <v>307.125</v>
      </c>
      <c r="J53" s="33">
        <v>308</v>
      </c>
      <c r="L53" s="33">
        <v>308.875</v>
      </c>
      <c r="M53" s="33">
        <v>309.625</v>
      </c>
      <c r="N53" s="33">
        <v>308.75</v>
      </c>
      <c r="O53" s="33">
        <v>310</v>
      </c>
      <c r="P53" s="33">
        <v>308</v>
      </c>
      <c r="Q53" s="33">
        <v>307.75</v>
      </c>
      <c r="R53" s="33">
        <v>307.125</v>
      </c>
      <c r="S53" s="33">
        <v>306.875</v>
      </c>
      <c r="T53" s="33">
        <v>307</v>
      </c>
      <c r="U53" s="33">
        <v>306.5</v>
      </c>
      <c r="V53" s="33">
        <v>307.125</v>
      </c>
      <c r="W53" s="33">
        <v>307.5</v>
      </c>
      <c r="X53" s="33">
        <v>306.625</v>
      </c>
      <c r="Y53" s="21">
        <f t="shared" si="0"/>
        <v>308</v>
      </c>
    </row>
    <row r="54" spans="1:25" x14ac:dyDescent="0.25">
      <c r="A54">
        <v>1760</v>
      </c>
      <c r="B54">
        <v>0</v>
      </c>
      <c r="C54" t="s">
        <v>41</v>
      </c>
      <c r="D54" s="33">
        <v>308.25</v>
      </c>
      <c r="E54" s="33">
        <v>310</v>
      </c>
      <c r="F54" s="33">
        <v>308.125</v>
      </c>
      <c r="G54" s="33">
        <v>308.625</v>
      </c>
      <c r="H54" s="33">
        <v>308.5</v>
      </c>
      <c r="I54" s="33">
        <v>308.625</v>
      </c>
      <c r="J54" s="33">
        <v>307.375</v>
      </c>
      <c r="L54" s="33">
        <v>309</v>
      </c>
      <c r="M54" s="33">
        <v>307.5</v>
      </c>
      <c r="N54" s="33">
        <v>305.5</v>
      </c>
      <c r="O54" s="33">
        <v>308.75</v>
      </c>
      <c r="P54" s="33">
        <v>304.875</v>
      </c>
      <c r="Q54" s="33">
        <v>308.75</v>
      </c>
      <c r="R54" s="33">
        <v>308.375</v>
      </c>
      <c r="S54" s="33">
        <v>308.625</v>
      </c>
      <c r="T54" s="33">
        <v>308.625</v>
      </c>
      <c r="U54" s="33">
        <v>310.375</v>
      </c>
      <c r="V54" s="33">
        <v>308.625</v>
      </c>
      <c r="W54" s="33">
        <v>309.125</v>
      </c>
      <c r="X54" s="33">
        <v>309.125</v>
      </c>
      <c r="Y54" s="21">
        <f t="shared" si="0"/>
        <v>308.33749999999998</v>
      </c>
    </row>
    <row r="55" spans="1:25" x14ac:dyDescent="0.25">
      <c r="A55">
        <v>1780</v>
      </c>
      <c r="B55">
        <v>0</v>
      </c>
      <c r="C55" t="s">
        <v>41</v>
      </c>
      <c r="D55" s="33">
        <v>305.875</v>
      </c>
      <c r="E55" s="33">
        <v>306.875</v>
      </c>
      <c r="F55" s="33">
        <v>307.125</v>
      </c>
      <c r="G55" s="33">
        <v>308.875</v>
      </c>
      <c r="H55" s="33">
        <v>310.75</v>
      </c>
      <c r="I55" s="33">
        <v>309</v>
      </c>
      <c r="J55" s="33">
        <v>308.75</v>
      </c>
      <c r="L55" s="33">
        <v>308.625</v>
      </c>
      <c r="M55" s="33">
        <v>306.5</v>
      </c>
      <c r="N55" s="33">
        <v>306.25</v>
      </c>
      <c r="O55" s="33">
        <v>308.875</v>
      </c>
      <c r="P55" s="33">
        <v>308.375</v>
      </c>
      <c r="Q55" s="33">
        <v>305.75</v>
      </c>
      <c r="R55" s="33">
        <v>310.75</v>
      </c>
      <c r="S55" s="33">
        <v>309.5</v>
      </c>
      <c r="T55" s="33">
        <v>310.5</v>
      </c>
      <c r="U55" s="33">
        <v>310.375</v>
      </c>
      <c r="V55" s="33">
        <v>307.5</v>
      </c>
      <c r="W55" s="33">
        <v>309.375</v>
      </c>
      <c r="X55" s="33">
        <v>307.25</v>
      </c>
      <c r="Y55" s="21">
        <f t="shared" si="0"/>
        <v>308.34375</v>
      </c>
    </row>
    <row r="56" spans="1:25" x14ac:dyDescent="0.25">
      <c r="Y56" s="32">
        <f>AVERAGE(Y1:Y55)</f>
        <v>303.46379631377704</v>
      </c>
    </row>
    <row r="61" spans="1:25" x14ac:dyDescent="0.25">
      <c r="A61">
        <v>700</v>
      </c>
      <c r="B61">
        <v>0</v>
      </c>
      <c r="C61" t="s">
        <v>40</v>
      </c>
      <c r="D61" s="33">
        <v>318.5</v>
      </c>
      <c r="E61" s="33">
        <v>317.5</v>
      </c>
      <c r="F61" s="33">
        <v>317.625</v>
      </c>
      <c r="G61" s="33">
        <v>320.375</v>
      </c>
      <c r="H61" s="33">
        <v>319.75</v>
      </c>
      <c r="I61" s="33">
        <v>318.75</v>
      </c>
      <c r="J61" s="33">
        <v>319.375</v>
      </c>
      <c r="L61" s="33">
        <v>320</v>
      </c>
      <c r="M61" s="33">
        <v>321.5</v>
      </c>
      <c r="N61" s="33">
        <v>318.375</v>
      </c>
      <c r="O61" s="33">
        <v>317.875</v>
      </c>
      <c r="P61" s="33">
        <v>320</v>
      </c>
      <c r="Q61" s="33">
        <v>320.875</v>
      </c>
      <c r="R61" s="33">
        <v>317.125</v>
      </c>
      <c r="S61" s="33">
        <v>318.875</v>
      </c>
      <c r="T61" s="33">
        <v>319.625</v>
      </c>
      <c r="U61" s="33">
        <v>317.625</v>
      </c>
      <c r="V61" s="33">
        <v>318.25</v>
      </c>
      <c r="W61" s="33">
        <v>318.875</v>
      </c>
      <c r="X61" s="33">
        <v>319.75</v>
      </c>
      <c r="Y61" s="21">
        <f t="shared" ref="Y61:Y124" si="1">AVERAGE(D61:X61)</f>
        <v>319.03125</v>
      </c>
    </row>
    <row r="62" spans="1:25" x14ac:dyDescent="0.25">
      <c r="A62">
        <v>720</v>
      </c>
      <c r="B62">
        <v>0</v>
      </c>
      <c r="C62" t="s">
        <v>40</v>
      </c>
      <c r="D62" s="33">
        <v>315.625</v>
      </c>
      <c r="E62" s="33">
        <v>319.875</v>
      </c>
      <c r="F62" s="33">
        <v>316.5</v>
      </c>
      <c r="G62" s="33">
        <v>320.5</v>
      </c>
      <c r="H62" s="33">
        <v>320.375</v>
      </c>
      <c r="I62" s="33">
        <v>320</v>
      </c>
      <c r="J62" s="33">
        <v>317.625</v>
      </c>
      <c r="L62" s="33">
        <v>317.25</v>
      </c>
      <c r="M62" s="33">
        <v>317.25</v>
      </c>
      <c r="N62" s="33">
        <v>319.125</v>
      </c>
      <c r="O62" s="33">
        <v>318.25</v>
      </c>
      <c r="P62" s="33">
        <v>315.125</v>
      </c>
      <c r="Q62" s="33">
        <v>318.375</v>
      </c>
      <c r="R62" s="33">
        <v>317.625</v>
      </c>
      <c r="S62" s="33">
        <v>319.5</v>
      </c>
      <c r="T62" s="33">
        <v>315.5</v>
      </c>
      <c r="U62" s="33">
        <v>317.625</v>
      </c>
      <c r="V62" s="33">
        <v>319.125</v>
      </c>
      <c r="W62" s="33">
        <v>319.25</v>
      </c>
      <c r="X62" s="33">
        <v>316.375</v>
      </c>
      <c r="Y62" s="21">
        <f t="shared" si="1"/>
        <v>318.04374999999999</v>
      </c>
    </row>
    <row r="63" spans="1:25" x14ac:dyDescent="0.25">
      <c r="A63">
        <v>740</v>
      </c>
      <c r="B63">
        <v>0</v>
      </c>
      <c r="C63" t="s">
        <v>40</v>
      </c>
      <c r="D63" s="33">
        <v>318.375</v>
      </c>
      <c r="E63" s="33">
        <v>317.5</v>
      </c>
      <c r="F63" s="33">
        <v>312.375</v>
      </c>
      <c r="G63" s="33">
        <v>317.125</v>
      </c>
      <c r="H63" s="33">
        <v>316</v>
      </c>
      <c r="I63" s="33">
        <v>318.375</v>
      </c>
      <c r="J63" s="33">
        <v>318.125</v>
      </c>
      <c r="L63" s="33">
        <v>317.75</v>
      </c>
      <c r="M63" s="33">
        <v>315.875</v>
      </c>
      <c r="N63" s="33">
        <v>317.125</v>
      </c>
      <c r="O63" s="33">
        <v>318.25</v>
      </c>
      <c r="P63" s="33">
        <v>319.625</v>
      </c>
      <c r="Q63" s="33">
        <v>316.5</v>
      </c>
      <c r="R63" s="33">
        <v>319.75</v>
      </c>
      <c r="S63" s="33">
        <v>316.75</v>
      </c>
      <c r="T63" s="33">
        <v>310.625</v>
      </c>
      <c r="U63" s="33">
        <v>316</v>
      </c>
      <c r="V63" s="33">
        <v>317.125</v>
      </c>
      <c r="W63" s="33">
        <v>315.375</v>
      </c>
      <c r="X63" s="33">
        <v>317.75</v>
      </c>
      <c r="Y63" s="21">
        <f t="shared" si="1"/>
        <v>316.81875000000002</v>
      </c>
    </row>
    <row r="64" spans="1:25" x14ac:dyDescent="0.25">
      <c r="A64">
        <v>760</v>
      </c>
      <c r="B64">
        <v>0</v>
      </c>
      <c r="C64" t="s">
        <v>40</v>
      </c>
      <c r="D64" s="33">
        <v>317.375</v>
      </c>
      <c r="E64" s="33">
        <v>318.75</v>
      </c>
      <c r="F64" s="33">
        <v>317.5</v>
      </c>
      <c r="G64" s="33">
        <v>317.625</v>
      </c>
      <c r="H64" s="33">
        <v>316.875</v>
      </c>
      <c r="I64" s="33">
        <v>315.5</v>
      </c>
      <c r="J64" s="33">
        <v>315.5</v>
      </c>
      <c r="L64" s="33">
        <v>317.5</v>
      </c>
      <c r="M64" s="33">
        <v>317.125</v>
      </c>
      <c r="N64" s="33">
        <v>316.25</v>
      </c>
      <c r="O64" s="33">
        <v>320.375</v>
      </c>
      <c r="P64" s="33">
        <v>317.375</v>
      </c>
      <c r="Q64" s="33">
        <v>318.5</v>
      </c>
      <c r="R64" s="33">
        <v>316.125</v>
      </c>
      <c r="S64" s="33">
        <v>316.75</v>
      </c>
      <c r="T64" s="33">
        <v>318.875</v>
      </c>
      <c r="U64" s="33">
        <v>319.25</v>
      </c>
      <c r="V64" s="33">
        <v>316.625</v>
      </c>
      <c r="W64" s="33">
        <v>315.625</v>
      </c>
      <c r="X64" s="33">
        <v>316.25</v>
      </c>
      <c r="Y64" s="21">
        <f t="shared" si="1"/>
        <v>317.28750000000002</v>
      </c>
    </row>
    <row r="65" spans="1:25" x14ac:dyDescent="0.25">
      <c r="A65">
        <v>780</v>
      </c>
      <c r="B65">
        <v>0</v>
      </c>
      <c r="C65" t="s">
        <v>40</v>
      </c>
      <c r="D65" s="33">
        <v>315.625</v>
      </c>
      <c r="E65" s="33">
        <v>318.125</v>
      </c>
      <c r="F65" s="33">
        <v>318.625</v>
      </c>
      <c r="G65" s="33">
        <v>313.375</v>
      </c>
      <c r="H65" s="33">
        <v>316.875</v>
      </c>
      <c r="I65" s="33">
        <v>316</v>
      </c>
      <c r="J65" s="33">
        <v>317.25</v>
      </c>
      <c r="L65" s="33">
        <v>318.375</v>
      </c>
      <c r="M65" s="33">
        <v>317.625</v>
      </c>
      <c r="N65" s="33">
        <v>319.75</v>
      </c>
      <c r="O65" s="33">
        <v>314.625</v>
      </c>
      <c r="P65" s="33">
        <v>319.5</v>
      </c>
      <c r="Q65" s="33">
        <v>319</v>
      </c>
      <c r="R65" s="33">
        <v>319.375</v>
      </c>
      <c r="S65" s="33">
        <v>318.625</v>
      </c>
      <c r="T65" s="33">
        <v>317.25</v>
      </c>
      <c r="U65" s="33">
        <v>318.625</v>
      </c>
      <c r="V65" s="33">
        <v>316.5</v>
      </c>
      <c r="W65" s="33">
        <v>316.125</v>
      </c>
      <c r="X65" s="33">
        <v>314.375</v>
      </c>
      <c r="Y65" s="21">
        <f t="shared" si="1"/>
        <v>317.28125</v>
      </c>
    </row>
    <row r="66" spans="1:25" x14ac:dyDescent="0.25">
      <c r="A66">
        <v>800</v>
      </c>
      <c r="B66">
        <v>0</v>
      </c>
      <c r="C66" t="s">
        <v>40</v>
      </c>
      <c r="D66" s="33">
        <v>316.125</v>
      </c>
      <c r="E66" s="33">
        <v>317.125</v>
      </c>
      <c r="F66" s="33">
        <v>317.25</v>
      </c>
      <c r="G66" s="33">
        <v>316.875</v>
      </c>
      <c r="H66" s="33">
        <v>317.25</v>
      </c>
      <c r="I66" s="33">
        <v>316.375</v>
      </c>
      <c r="J66" s="33">
        <v>314.75</v>
      </c>
      <c r="L66" s="33">
        <v>313.125</v>
      </c>
      <c r="M66" s="33">
        <v>317.5</v>
      </c>
      <c r="N66" s="33">
        <v>314</v>
      </c>
      <c r="O66" s="33">
        <v>315</v>
      </c>
      <c r="P66" s="33">
        <v>315.125</v>
      </c>
      <c r="Q66" s="33">
        <v>316.375</v>
      </c>
      <c r="R66" s="33">
        <v>317.875</v>
      </c>
      <c r="S66" s="33">
        <v>316.625</v>
      </c>
      <c r="T66" s="33">
        <v>318.125</v>
      </c>
      <c r="U66" s="33">
        <v>317.625</v>
      </c>
      <c r="V66" s="33">
        <v>317.75</v>
      </c>
      <c r="W66" s="33">
        <v>318.375</v>
      </c>
      <c r="X66" s="33">
        <v>318.875</v>
      </c>
      <c r="Y66" s="21">
        <f t="shared" si="1"/>
        <v>316.60624999999999</v>
      </c>
    </row>
    <row r="67" spans="1:25" x14ac:dyDescent="0.25">
      <c r="A67">
        <v>820</v>
      </c>
      <c r="B67">
        <v>0</v>
      </c>
      <c r="C67" t="s">
        <v>40</v>
      </c>
      <c r="D67" s="33">
        <v>317.875</v>
      </c>
      <c r="E67" s="33">
        <v>317.75</v>
      </c>
      <c r="F67" s="33">
        <v>315.75</v>
      </c>
      <c r="G67" s="33">
        <v>319.5</v>
      </c>
      <c r="H67" s="33">
        <v>314.625</v>
      </c>
      <c r="I67" s="33">
        <v>316.125</v>
      </c>
      <c r="J67" s="33">
        <v>313.625</v>
      </c>
      <c r="L67" s="33">
        <v>315</v>
      </c>
      <c r="M67" s="33">
        <v>316.5</v>
      </c>
      <c r="N67" s="33">
        <v>315</v>
      </c>
      <c r="O67" s="33">
        <v>317.75</v>
      </c>
      <c r="P67" s="33">
        <v>318.375</v>
      </c>
      <c r="Q67" s="33">
        <v>315.75</v>
      </c>
      <c r="R67" s="33">
        <v>316.375</v>
      </c>
      <c r="S67" s="33">
        <v>316</v>
      </c>
      <c r="T67" s="33">
        <v>314.5</v>
      </c>
      <c r="U67" s="33">
        <v>316.625</v>
      </c>
      <c r="V67" s="33">
        <v>318</v>
      </c>
      <c r="W67" s="33">
        <v>316.5</v>
      </c>
      <c r="X67" s="33">
        <v>315.5</v>
      </c>
      <c r="Y67" s="21">
        <f t="shared" si="1"/>
        <v>316.35624999999999</v>
      </c>
    </row>
    <row r="68" spans="1:25" x14ac:dyDescent="0.25">
      <c r="A68">
        <v>840</v>
      </c>
      <c r="B68">
        <v>0</v>
      </c>
      <c r="C68" t="s">
        <v>40</v>
      </c>
      <c r="D68" s="33">
        <v>316.5</v>
      </c>
      <c r="E68" s="33">
        <v>316</v>
      </c>
      <c r="F68" s="33">
        <v>315.125</v>
      </c>
      <c r="G68" s="33">
        <v>316.25</v>
      </c>
      <c r="H68" s="33">
        <v>317.625</v>
      </c>
      <c r="I68" s="33">
        <v>315.75</v>
      </c>
      <c r="J68" s="33">
        <v>317.5</v>
      </c>
      <c r="L68" s="33">
        <v>319</v>
      </c>
      <c r="M68" s="33">
        <v>315.375</v>
      </c>
      <c r="N68" s="33">
        <v>315.25</v>
      </c>
      <c r="O68" s="33">
        <v>315.75</v>
      </c>
      <c r="P68" s="33">
        <v>316.625</v>
      </c>
      <c r="Q68" s="33">
        <v>317.375</v>
      </c>
      <c r="R68" s="33">
        <v>313.5</v>
      </c>
      <c r="S68" s="33">
        <v>316</v>
      </c>
      <c r="T68" s="33">
        <v>313.625</v>
      </c>
      <c r="U68" s="33">
        <v>315</v>
      </c>
      <c r="V68" s="33">
        <v>315.875</v>
      </c>
      <c r="W68" s="33">
        <v>314.125</v>
      </c>
      <c r="X68" s="33">
        <v>314.375</v>
      </c>
      <c r="Y68" s="21">
        <f t="shared" si="1"/>
        <v>315.83125000000001</v>
      </c>
    </row>
    <row r="69" spans="1:25" x14ac:dyDescent="0.25">
      <c r="A69">
        <v>860</v>
      </c>
      <c r="B69">
        <v>0</v>
      </c>
      <c r="C69" t="s">
        <v>40</v>
      </c>
      <c r="D69" s="33">
        <v>318.375</v>
      </c>
      <c r="E69" s="33">
        <v>314.875</v>
      </c>
      <c r="F69" s="33">
        <v>315.875</v>
      </c>
      <c r="G69" s="33">
        <v>317.625</v>
      </c>
      <c r="H69" s="33">
        <v>316.25</v>
      </c>
      <c r="I69" s="33">
        <v>315.625</v>
      </c>
      <c r="J69" s="33">
        <v>315.125</v>
      </c>
      <c r="L69" s="33">
        <v>317.125</v>
      </c>
      <c r="M69" s="33">
        <v>314.25</v>
      </c>
      <c r="N69" s="33">
        <v>317.625</v>
      </c>
      <c r="O69" s="33">
        <v>311.125</v>
      </c>
      <c r="P69" s="33">
        <v>314.25</v>
      </c>
      <c r="Q69" s="33">
        <v>317.625</v>
      </c>
      <c r="R69" s="33">
        <v>316.875</v>
      </c>
      <c r="S69" s="33">
        <v>314.625</v>
      </c>
      <c r="T69" s="33">
        <v>315.875</v>
      </c>
      <c r="U69" s="33">
        <v>316.125</v>
      </c>
      <c r="V69" s="33">
        <v>316.5</v>
      </c>
      <c r="W69" s="33">
        <v>316.5</v>
      </c>
      <c r="X69" s="33">
        <v>317.25</v>
      </c>
      <c r="Y69" s="21">
        <f t="shared" si="1"/>
        <v>315.97500000000002</v>
      </c>
    </row>
    <row r="70" spans="1:25" x14ac:dyDescent="0.25">
      <c r="A70">
        <v>880</v>
      </c>
      <c r="B70">
        <v>0</v>
      </c>
      <c r="C70" t="s">
        <v>40</v>
      </c>
      <c r="D70" s="33">
        <v>317.875</v>
      </c>
      <c r="E70" s="33">
        <v>313.125</v>
      </c>
      <c r="F70" s="33">
        <v>315.5</v>
      </c>
      <c r="G70" s="33">
        <v>318.625</v>
      </c>
      <c r="H70" s="33">
        <v>316.625</v>
      </c>
      <c r="I70" s="33">
        <v>316.875</v>
      </c>
      <c r="J70" s="33">
        <v>315.5</v>
      </c>
      <c r="L70" s="33">
        <v>312.875</v>
      </c>
      <c r="M70" s="33">
        <v>317</v>
      </c>
      <c r="N70" s="33">
        <v>316.25</v>
      </c>
      <c r="O70" s="33">
        <v>315.125</v>
      </c>
      <c r="P70" s="33">
        <v>318.25</v>
      </c>
      <c r="Q70" s="33">
        <v>315.25</v>
      </c>
      <c r="R70" s="33">
        <v>315.875</v>
      </c>
      <c r="S70" s="33">
        <v>316.875</v>
      </c>
      <c r="T70" s="33">
        <v>314.625</v>
      </c>
      <c r="U70" s="33">
        <v>314.375</v>
      </c>
      <c r="V70" s="33">
        <v>316.25</v>
      </c>
      <c r="W70" s="33">
        <v>316.75</v>
      </c>
      <c r="X70" s="33">
        <v>316</v>
      </c>
      <c r="Y70" s="21">
        <f t="shared" si="1"/>
        <v>315.98124999999999</v>
      </c>
    </row>
    <row r="71" spans="1:25" x14ac:dyDescent="0.25">
      <c r="A71">
        <v>900</v>
      </c>
      <c r="B71">
        <v>0</v>
      </c>
      <c r="C71" t="s">
        <v>40</v>
      </c>
      <c r="D71" s="33">
        <v>314.5</v>
      </c>
      <c r="E71" s="33">
        <v>317.75</v>
      </c>
      <c r="F71" s="33">
        <v>315.875</v>
      </c>
      <c r="G71" s="33">
        <v>317.625</v>
      </c>
      <c r="H71" s="33">
        <v>315.25</v>
      </c>
      <c r="I71" s="33">
        <v>313.75</v>
      </c>
      <c r="J71" s="33">
        <v>316.875</v>
      </c>
      <c r="L71" s="33">
        <v>314.875</v>
      </c>
      <c r="M71" s="33">
        <v>318</v>
      </c>
      <c r="N71" s="33">
        <v>316</v>
      </c>
      <c r="O71" s="33">
        <v>320.625</v>
      </c>
      <c r="P71" s="33">
        <v>316.25</v>
      </c>
      <c r="Q71" s="33">
        <v>312.375</v>
      </c>
      <c r="R71" s="33">
        <v>318.75</v>
      </c>
      <c r="S71" s="33">
        <v>313.5</v>
      </c>
      <c r="T71" s="33">
        <v>317.125</v>
      </c>
      <c r="U71" s="33">
        <v>315.625</v>
      </c>
      <c r="V71" s="33">
        <v>316.125</v>
      </c>
      <c r="W71" s="33">
        <v>317</v>
      </c>
      <c r="X71" s="33">
        <v>317.5</v>
      </c>
      <c r="Y71" s="21">
        <f t="shared" si="1"/>
        <v>316.26875000000001</v>
      </c>
    </row>
    <row r="72" spans="1:25" x14ac:dyDescent="0.25">
      <c r="A72">
        <v>920</v>
      </c>
      <c r="B72">
        <v>0</v>
      </c>
      <c r="C72" t="s">
        <v>40</v>
      </c>
      <c r="D72" s="33">
        <v>314.125</v>
      </c>
      <c r="E72" s="33">
        <v>313.875</v>
      </c>
      <c r="F72" s="33">
        <v>315.875</v>
      </c>
      <c r="G72" s="33">
        <v>314.875</v>
      </c>
      <c r="H72" s="33">
        <v>315</v>
      </c>
      <c r="I72" s="33">
        <v>315.75</v>
      </c>
      <c r="J72" s="33">
        <v>315.125</v>
      </c>
      <c r="L72" s="33">
        <v>316.5</v>
      </c>
      <c r="M72" s="33">
        <v>314.75</v>
      </c>
      <c r="N72" s="33">
        <v>315.5</v>
      </c>
      <c r="O72" s="33">
        <v>313.875</v>
      </c>
      <c r="P72" s="33">
        <v>317</v>
      </c>
      <c r="Q72" s="33">
        <v>316.75</v>
      </c>
      <c r="R72" s="33">
        <v>315.125</v>
      </c>
      <c r="S72" s="33">
        <v>315.5</v>
      </c>
      <c r="T72" s="33">
        <v>314.25</v>
      </c>
      <c r="U72" s="33">
        <v>316</v>
      </c>
      <c r="V72" s="33">
        <v>316.875</v>
      </c>
      <c r="W72" s="33">
        <v>314</v>
      </c>
      <c r="X72" s="33">
        <v>313.875</v>
      </c>
      <c r="Y72" s="21">
        <f t="shared" si="1"/>
        <v>315.23124999999999</v>
      </c>
    </row>
    <row r="73" spans="1:25" x14ac:dyDescent="0.25">
      <c r="A73">
        <v>940</v>
      </c>
      <c r="B73">
        <v>0</v>
      </c>
      <c r="C73" t="s">
        <v>40</v>
      </c>
      <c r="D73" s="33">
        <v>316</v>
      </c>
      <c r="E73" s="33">
        <v>317.375</v>
      </c>
      <c r="F73" s="33">
        <v>316.25</v>
      </c>
      <c r="G73" s="33">
        <v>316.875</v>
      </c>
      <c r="H73" s="33">
        <v>315.125</v>
      </c>
      <c r="I73" s="33">
        <v>315.125</v>
      </c>
      <c r="J73" s="33">
        <v>316</v>
      </c>
      <c r="L73" s="33">
        <v>315.375</v>
      </c>
      <c r="M73" s="33">
        <v>313.5</v>
      </c>
      <c r="N73" s="33">
        <v>315.75</v>
      </c>
      <c r="O73" s="33">
        <v>313.375</v>
      </c>
      <c r="P73" s="33">
        <v>312.25</v>
      </c>
      <c r="Q73" s="33">
        <v>315.875</v>
      </c>
      <c r="R73" s="33">
        <v>314.375</v>
      </c>
      <c r="S73" s="33">
        <v>316.125</v>
      </c>
      <c r="T73" s="33">
        <v>314.875</v>
      </c>
      <c r="U73" s="33">
        <v>313.625</v>
      </c>
      <c r="V73" s="33">
        <v>320.375</v>
      </c>
      <c r="W73" s="33">
        <v>317.5</v>
      </c>
      <c r="X73" s="33">
        <v>316.125</v>
      </c>
      <c r="Y73" s="21">
        <f t="shared" si="1"/>
        <v>315.59375</v>
      </c>
    </row>
    <row r="74" spans="1:25" x14ac:dyDescent="0.25">
      <c r="A74">
        <v>960</v>
      </c>
      <c r="B74">
        <v>0</v>
      </c>
      <c r="C74" t="s">
        <v>40</v>
      </c>
      <c r="D74" s="33">
        <v>317.375</v>
      </c>
      <c r="E74" s="33">
        <v>316.375</v>
      </c>
      <c r="F74" s="33">
        <v>315.5</v>
      </c>
      <c r="G74" s="33">
        <v>316.875</v>
      </c>
      <c r="H74" s="33">
        <v>316</v>
      </c>
      <c r="I74" s="33">
        <v>315.5</v>
      </c>
      <c r="J74" s="33">
        <v>316</v>
      </c>
      <c r="L74" s="33">
        <v>314.75</v>
      </c>
      <c r="M74" s="33">
        <v>314.25</v>
      </c>
      <c r="N74" s="33">
        <v>315.625</v>
      </c>
      <c r="O74" s="33">
        <v>314.125</v>
      </c>
      <c r="P74" s="33">
        <v>315.125</v>
      </c>
      <c r="Q74" s="33">
        <v>315.625</v>
      </c>
      <c r="R74" s="33">
        <v>316.125</v>
      </c>
      <c r="S74" s="33">
        <v>315.25</v>
      </c>
      <c r="T74" s="33">
        <v>313.75</v>
      </c>
      <c r="U74" s="33">
        <v>315.75</v>
      </c>
      <c r="V74" s="33">
        <v>315.875</v>
      </c>
      <c r="W74" s="33">
        <v>314.125</v>
      </c>
      <c r="X74" s="33">
        <v>314.125</v>
      </c>
      <c r="Y74" s="21">
        <f t="shared" si="1"/>
        <v>315.40625</v>
      </c>
    </row>
    <row r="75" spans="1:25" x14ac:dyDescent="0.25">
      <c r="A75">
        <v>980</v>
      </c>
      <c r="B75">
        <v>0</v>
      </c>
      <c r="C75" t="s">
        <v>40</v>
      </c>
      <c r="D75" s="33">
        <v>316.5</v>
      </c>
      <c r="E75" s="33">
        <v>314.75</v>
      </c>
      <c r="F75" s="33">
        <v>314</v>
      </c>
      <c r="G75" s="33">
        <v>312.75</v>
      </c>
      <c r="H75" s="33">
        <v>314.25</v>
      </c>
      <c r="I75" s="33">
        <v>314.25</v>
      </c>
      <c r="J75" s="33">
        <v>315.375</v>
      </c>
      <c r="L75" s="33">
        <v>316.75</v>
      </c>
      <c r="M75" s="33">
        <v>317.125</v>
      </c>
      <c r="N75" s="33">
        <v>313</v>
      </c>
      <c r="O75" s="33">
        <v>314.875</v>
      </c>
      <c r="P75" s="33">
        <v>317.875</v>
      </c>
      <c r="Q75" s="33">
        <v>315</v>
      </c>
      <c r="R75" s="33">
        <v>316.75</v>
      </c>
      <c r="S75" s="33">
        <v>316.375</v>
      </c>
      <c r="T75" s="33">
        <v>314.625</v>
      </c>
      <c r="U75" s="33">
        <v>315.25</v>
      </c>
      <c r="V75" s="33">
        <v>315.875</v>
      </c>
      <c r="W75" s="33">
        <v>313.875</v>
      </c>
      <c r="X75" s="33">
        <v>313.625</v>
      </c>
      <c r="Y75" s="21">
        <f t="shared" si="1"/>
        <v>315.14375000000001</v>
      </c>
    </row>
    <row r="76" spans="1:25" x14ac:dyDescent="0.25">
      <c r="A76">
        <v>1000</v>
      </c>
      <c r="B76">
        <v>0</v>
      </c>
      <c r="C76" t="s">
        <v>40</v>
      </c>
      <c r="D76" s="33">
        <v>312.75</v>
      </c>
      <c r="E76" s="33">
        <v>314.75</v>
      </c>
      <c r="F76" s="33">
        <v>317.375</v>
      </c>
      <c r="G76" s="33">
        <v>317.5</v>
      </c>
      <c r="H76" s="33">
        <v>315.375</v>
      </c>
      <c r="I76" s="33">
        <v>312.25</v>
      </c>
      <c r="J76" s="33">
        <v>314.25</v>
      </c>
      <c r="L76" s="33">
        <v>312.375</v>
      </c>
      <c r="M76" s="33">
        <v>315.75</v>
      </c>
      <c r="N76" s="33">
        <v>318.125</v>
      </c>
      <c r="O76" s="33">
        <v>316.25</v>
      </c>
      <c r="P76" s="33">
        <v>315.875</v>
      </c>
      <c r="Q76" s="33">
        <v>317</v>
      </c>
      <c r="R76" s="33">
        <v>313.625</v>
      </c>
      <c r="S76" s="33">
        <v>319</v>
      </c>
      <c r="T76" s="33">
        <v>314</v>
      </c>
      <c r="U76" s="33">
        <v>316.5</v>
      </c>
      <c r="V76" s="33">
        <v>312.875</v>
      </c>
      <c r="W76" s="33">
        <v>311.5</v>
      </c>
      <c r="X76" s="33">
        <v>315.625</v>
      </c>
      <c r="Y76" s="21">
        <f t="shared" si="1"/>
        <v>315.13749999999999</v>
      </c>
    </row>
    <row r="77" spans="1:25" x14ac:dyDescent="0.25">
      <c r="A77">
        <v>1020</v>
      </c>
      <c r="B77">
        <v>0</v>
      </c>
      <c r="C77" t="s">
        <v>40</v>
      </c>
      <c r="D77" s="33">
        <v>316.375</v>
      </c>
      <c r="E77" s="33">
        <v>314.125</v>
      </c>
      <c r="F77" s="33">
        <v>315.75</v>
      </c>
      <c r="G77" s="33">
        <v>314</v>
      </c>
      <c r="H77" s="33">
        <v>318.75</v>
      </c>
      <c r="I77" s="33">
        <v>318.375</v>
      </c>
      <c r="J77" s="33">
        <v>316.25</v>
      </c>
      <c r="L77" s="33">
        <v>316.625</v>
      </c>
      <c r="M77" s="33">
        <v>314.5</v>
      </c>
      <c r="N77" s="33">
        <v>314.875</v>
      </c>
      <c r="O77" s="33">
        <v>317.75</v>
      </c>
      <c r="P77" s="33">
        <v>312.5</v>
      </c>
      <c r="Q77" s="33">
        <v>315.25</v>
      </c>
      <c r="R77" s="33">
        <v>314.125</v>
      </c>
      <c r="S77" s="33">
        <v>314.875</v>
      </c>
      <c r="T77" s="33">
        <v>316.5</v>
      </c>
      <c r="U77" s="33">
        <v>316</v>
      </c>
      <c r="V77" s="33">
        <v>315.75</v>
      </c>
      <c r="W77" s="33">
        <v>314.125</v>
      </c>
      <c r="X77" s="33">
        <v>315.625</v>
      </c>
      <c r="Y77" s="21">
        <f t="shared" si="1"/>
        <v>315.60624999999999</v>
      </c>
    </row>
    <row r="78" spans="1:25" x14ac:dyDescent="0.25">
      <c r="A78">
        <v>1040</v>
      </c>
      <c r="B78">
        <v>0</v>
      </c>
      <c r="C78" t="s">
        <v>40</v>
      </c>
      <c r="D78" s="33">
        <v>315.875</v>
      </c>
      <c r="E78" s="33">
        <v>315.25</v>
      </c>
      <c r="F78" s="33">
        <v>314.875</v>
      </c>
      <c r="G78" s="33">
        <v>314.625</v>
      </c>
      <c r="H78" s="33">
        <v>315.125</v>
      </c>
      <c r="I78" s="33">
        <v>316.5</v>
      </c>
      <c r="J78" s="33">
        <v>314.875</v>
      </c>
      <c r="L78" s="33">
        <v>315.125</v>
      </c>
      <c r="M78" s="33">
        <v>315.125</v>
      </c>
      <c r="N78" s="33">
        <v>316.25</v>
      </c>
      <c r="O78" s="33">
        <v>316</v>
      </c>
      <c r="P78" s="33">
        <v>316</v>
      </c>
      <c r="Q78" s="33">
        <v>316.625</v>
      </c>
      <c r="R78" s="33">
        <v>314.75</v>
      </c>
      <c r="S78" s="33">
        <v>316</v>
      </c>
      <c r="T78" s="33">
        <v>316.5</v>
      </c>
      <c r="U78" s="33">
        <v>317.625</v>
      </c>
      <c r="V78" s="33">
        <v>315.5</v>
      </c>
      <c r="W78" s="33">
        <v>317.125</v>
      </c>
      <c r="X78" s="33">
        <v>315.125</v>
      </c>
      <c r="Y78" s="21">
        <f t="shared" si="1"/>
        <v>315.74374999999998</v>
      </c>
    </row>
    <row r="79" spans="1:25" x14ac:dyDescent="0.25">
      <c r="A79">
        <v>1060</v>
      </c>
      <c r="B79">
        <v>0</v>
      </c>
      <c r="C79" t="s">
        <v>40</v>
      </c>
      <c r="D79" s="33">
        <v>316</v>
      </c>
      <c r="E79" s="33">
        <v>315.625</v>
      </c>
      <c r="F79" s="33">
        <v>313</v>
      </c>
      <c r="G79" s="33">
        <v>314.625</v>
      </c>
      <c r="H79" s="33">
        <v>314.5</v>
      </c>
      <c r="I79" s="33">
        <v>313.75</v>
      </c>
      <c r="J79" s="33">
        <v>314.625</v>
      </c>
      <c r="L79" s="33">
        <v>315.75</v>
      </c>
      <c r="M79" s="33">
        <v>315.875</v>
      </c>
      <c r="N79" s="33">
        <v>314.5</v>
      </c>
      <c r="O79" s="33">
        <v>317.875</v>
      </c>
      <c r="P79" s="33">
        <v>316.375</v>
      </c>
      <c r="Q79" s="33">
        <v>312.625</v>
      </c>
      <c r="R79" s="33">
        <v>315.25</v>
      </c>
      <c r="S79" s="33">
        <v>314</v>
      </c>
      <c r="T79" s="33">
        <v>315.625</v>
      </c>
      <c r="U79" s="33">
        <v>315.625</v>
      </c>
      <c r="V79" s="33">
        <v>313.5</v>
      </c>
      <c r="W79" s="33">
        <v>312.75</v>
      </c>
      <c r="X79" s="33">
        <v>314.125</v>
      </c>
      <c r="Y79" s="21">
        <f t="shared" si="1"/>
        <v>314.8</v>
      </c>
    </row>
    <row r="80" spans="1:25" x14ac:dyDescent="0.25">
      <c r="A80">
        <v>1080</v>
      </c>
      <c r="B80">
        <v>0</v>
      </c>
      <c r="C80" t="s">
        <v>40</v>
      </c>
      <c r="D80" s="33">
        <v>317.125</v>
      </c>
      <c r="E80" s="33">
        <v>315.375</v>
      </c>
      <c r="F80" s="33">
        <v>317.125</v>
      </c>
      <c r="G80" s="33">
        <v>315.25</v>
      </c>
      <c r="H80" s="33">
        <v>315.75</v>
      </c>
      <c r="I80" s="33">
        <v>315.25</v>
      </c>
      <c r="J80" s="33">
        <v>315.375</v>
      </c>
      <c r="L80" s="33">
        <v>312.75</v>
      </c>
      <c r="M80" s="33">
        <v>315.625</v>
      </c>
      <c r="N80" s="33">
        <v>312.875</v>
      </c>
      <c r="O80" s="33">
        <v>312.125</v>
      </c>
      <c r="P80" s="33">
        <v>314.75</v>
      </c>
      <c r="Q80" s="33">
        <v>312</v>
      </c>
      <c r="R80" s="33">
        <v>314.25</v>
      </c>
      <c r="S80" s="33">
        <v>314</v>
      </c>
      <c r="T80" s="33">
        <v>311.625</v>
      </c>
      <c r="U80" s="33">
        <v>316.375</v>
      </c>
      <c r="V80" s="33">
        <v>314.125</v>
      </c>
      <c r="W80" s="33">
        <v>316.25</v>
      </c>
      <c r="X80" s="33">
        <v>316.625</v>
      </c>
      <c r="Y80" s="21">
        <f t="shared" si="1"/>
        <v>314.73124999999999</v>
      </c>
    </row>
    <row r="81" spans="1:25" x14ac:dyDescent="0.25">
      <c r="A81">
        <v>1100</v>
      </c>
      <c r="B81">
        <v>0</v>
      </c>
      <c r="C81" t="s">
        <v>40</v>
      </c>
      <c r="D81" s="33">
        <v>314.25</v>
      </c>
      <c r="E81" s="33">
        <v>316.125</v>
      </c>
      <c r="F81" s="33">
        <v>315.75</v>
      </c>
      <c r="G81" s="33">
        <v>314.25</v>
      </c>
      <c r="H81" s="33">
        <v>315.125</v>
      </c>
      <c r="I81" s="33">
        <v>313.875</v>
      </c>
      <c r="J81" s="33">
        <v>312.125</v>
      </c>
      <c r="L81" s="33">
        <v>312.125</v>
      </c>
      <c r="M81" s="33">
        <v>314.25</v>
      </c>
      <c r="N81" s="33">
        <v>315</v>
      </c>
      <c r="O81" s="33">
        <v>314.125</v>
      </c>
      <c r="P81" s="33">
        <v>314.625</v>
      </c>
      <c r="Q81" s="33">
        <v>315.625</v>
      </c>
      <c r="R81" s="33">
        <v>314.75</v>
      </c>
      <c r="S81" s="33">
        <v>315.5</v>
      </c>
      <c r="T81" s="33">
        <v>316.625</v>
      </c>
      <c r="U81" s="33">
        <v>313.125</v>
      </c>
      <c r="V81" s="33">
        <v>316</v>
      </c>
      <c r="W81" s="33">
        <v>313.375</v>
      </c>
      <c r="X81" s="33">
        <v>316.625</v>
      </c>
      <c r="Y81" s="21">
        <f t="shared" si="1"/>
        <v>314.66250000000002</v>
      </c>
    </row>
    <row r="82" spans="1:25" x14ac:dyDescent="0.25">
      <c r="A82">
        <v>1120</v>
      </c>
      <c r="B82">
        <v>0</v>
      </c>
      <c r="C82" t="s">
        <v>40</v>
      </c>
      <c r="D82" s="33">
        <v>313.5</v>
      </c>
      <c r="E82" s="33">
        <v>315.125</v>
      </c>
      <c r="F82" s="33">
        <v>316.875</v>
      </c>
      <c r="G82" s="33">
        <v>315.625</v>
      </c>
      <c r="H82" s="33">
        <v>315.125</v>
      </c>
      <c r="I82" s="33">
        <v>317.375</v>
      </c>
      <c r="J82" s="33">
        <v>314.5</v>
      </c>
      <c r="L82" s="33">
        <v>312.625</v>
      </c>
      <c r="M82" s="33">
        <v>314</v>
      </c>
      <c r="N82" s="33">
        <v>316.625</v>
      </c>
      <c r="O82" s="33">
        <v>316.75</v>
      </c>
      <c r="P82" s="33">
        <v>317.25</v>
      </c>
      <c r="Q82" s="33">
        <v>314.375</v>
      </c>
      <c r="R82" s="33">
        <v>312.75</v>
      </c>
      <c r="S82" s="33">
        <v>315.5</v>
      </c>
      <c r="T82" s="33">
        <v>313.625</v>
      </c>
      <c r="U82" s="33">
        <v>313.875</v>
      </c>
      <c r="V82" s="33">
        <v>312.875</v>
      </c>
      <c r="W82" s="33">
        <v>313.375</v>
      </c>
      <c r="X82" s="33">
        <v>317.875</v>
      </c>
      <c r="Y82" s="21">
        <f t="shared" si="1"/>
        <v>314.98124999999999</v>
      </c>
    </row>
    <row r="83" spans="1:25" x14ac:dyDescent="0.25">
      <c r="A83">
        <v>1140</v>
      </c>
      <c r="B83">
        <v>0</v>
      </c>
      <c r="C83" t="s">
        <v>40</v>
      </c>
      <c r="D83" s="33">
        <v>315</v>
      </c>
      <c r="E83" s="33">
        <v>315.375</v>
      </c>
      <c r="F83" s="33">
        <v>315.25</v>
      </c>
      <c r="G83" s="33">
        <v>316.375</v>
      </c>
      <c r="H83" s="33">
        <v>315.125</v>
      </c>
      <c r="I83" s="33">
        <v>315.25</v>
      </c>
      <c r="J83" s="33">
        <v>317</v>
      </c>
      <c r="L83" s="33">
        <v>316.25</v>
      </c>
      <c r="M83" s="33">
        <v>313.375</v>
      </c>
      <c r="N83" s="33">
        <v>314.125</v>
      </c>
      <c r="O83" s="33">
        <v>315.875</v>
      </c>
      <c r="P83" s="33">
        <v>312.125</v>
      </c>
      <c r="Q83" s="33">
        <v>315.375</v>
      </c>
      <c r="R83" s="33">
        <v>312.5</v>
      </c>
      <c r="S83" s="33">
        <v>315.125</v>
      </c>
      <c r="T83" s="33">
        <v>315.125</v>
      </c>
      <c r="U83" s="33">
        <v>314.375</v>
      </c>
      <c r="V83" s="33">
        <v>313</v>
      </c>
      <c r="W83" s="33">
        <v>310.875</v>
      </c>
      <c r="X83" s="33">
        <v>315.625</v>
      </c>
      <c r="Y83" s="21">
        <f t="shared" si="1"/>
        <v>314.65625</v>
      </c>
    </row>
    <row r="84" spans="1:25" x14ac:dyDescent="0.25">
      <c r="A84">
        <v>1160</v>
      </c>
      <c r="B84">
        <v>0</v>
      </c>
      <c r="C84" t="s">
        <v>40</v>
      </c>
      <c r="D84" s="33">
        <v>315.625</v>
      </c>
      <c r="E84" s="33">
        <v>315.375</v>
      </c>
      <c r="F84" s="33">
        <v>316</v>
      </c>
      <c r="G84" s="33">
        <v>313.125</v>
      </c>
      <c r="H84" s="33">
        <v>314.125</v>
      </c>
      <c r="I84" s="33">
        <v>313.625</v>
      </c>
      <c r="J84" s="33">
        <v>313.75</v>
      </c>
      <c r="L84" s="33">
        <v>313.25</v>
      </c>
      <c r="M84" s="33">
        <v>315.5</v>
      </c>
      <c r="N84" s="33">
        <v>312.25</v>
      </c>
      <c r="O84" s="33">
        <v>311.75</v>
      </c>
      <c r="P84" s="33">
        <v>315.5</v>
      </c>
      <c r="Q84" s="33">
        <v>313.25</v>
      </c>
      <c r="R84" s="33">
        <v>312.625</v>
      </c>
      <c r="S84" s="33">
        <v>315.25</v>
      </c>
      <c r="T84" s="33">
        <v>314.875</v>
      </c>
      <c r="U84" s="33">
        <v>314.25</v>
      </c>
      <c r="V84" s="33">
        <v>315.5</v>
      </c>
      <c r="W84" s="33">
        <v>315.375</v>
      </c>
      <c r="X84" s="33">
        <v>314.625</v>
      </c>
      <c r="Y84" s="21">
        <f t="shared" si="1"/>
        <v>314.28125</v>
      </c>
    </row>
    <row r="85" spans="1:25" x14ac:dyDescent="0.25">
      <c r="A85">
        <v>1180</v>
      </c>
      <c r="B85">
        <v>0</v>
      </c>
      <c r="C85" t="s">
        <v>40</v>
      </c>
      <c r="D85" s="33">
        <v>314.625</v>
      </c>
      <c r="E85" s="33">
        <v>312.875</v>
      </c>
      <c r="F85" s="33">
        <v>314</v>
      </c>
      <c r="G85" s="33">
        <v>313.375</v>
      </c>
      <c r="H85" s="33">
        <v>315.625</v>
      </c>
      <c r="I85" s="33">
        <v>313.25</v>
      </c>
      <c r="J85" s="33">
        <v>313.375</v>
      </c>
      <c r="L85" s="33">
        <v>315.5</v>
      </c>
      <c r="M85" s="33">
        <v>313.375</v>
      </c>
      <c r="N85" s="33">
        <v>315.625</v>
      </c>
      <c r="O85" s="33">
        <v>313.5</v>
      </c>
      <c r="P85" s="33">
        <v>315.5</v>
      </c>
      <c r="Q85" s="33">
        <v>313.75</v>
      </c>
      <c r="R85" s="33">
        <v>315.125</v>
      </c>
      <c r="S85" s="33">
        <v>315.25</v>
      </c>
      <c r="T85" s="33">
        <v>313.75</v>
      </c>
      <c r="U85" s="33">
        <v>313.625</v>
      </c>
      <c r="V85" s="33">
        <v>314.875</v>
      </c>
      <c r="W85" s="33">
        <v>313.75</v>
      </c>
      <c r="X85" s="33">
        <v>314.625</v>
      </c>
      <c r="Y85" s="21">
        <f t="shared" si="1"/>
        <v>314.26875000000001</v>
      </c>
    </row>
    <row r="86" spans="1:25" x14ac:dyDescent="0.25">
      <c r="A86">
        <v>1200</v>
      </c>
      <c r="B86">
        <v>0</v>
      </c>
      <c r="C86" t="s">
        <v>40</v>
      </c>
      <c r="D86" s="33">
        <v>312.75</v>
      </c>
      <c r="E86" s="33">
        <v>314.375</v>
      </c>
      <c r="F86" s="33">
        <v>313.375</v>
      </c>
      <c r="G86" s="33">
        <v>312.5</v>
      </c>
      <c r="H86" s="33">
        <v>316</v>
      </c>
      <c r="I86" s="33">
        <v>312</v>
      </c>
      <c r="J86" s="33">
        <v>314</v>
      </c>
      <c r="L86" s="33">
        <v>312.5</v>
      </c>
      <c r="M86" s="33">
        <v>314.25</v>
      </c>
      <c r="N86" s="33">
        <v>314.625</v>
      </c>
      <c r="O86" s="33">
        <v>314.5</v>
      </c>
      <c r="P86" s="33">
        <v>314.5</v>
      </c>
      <c r="Q86" s="33">
        <v>314.75</v>
      </c>
      <c r="R86" s="33">
        <v>314</v>
      </c>
      <c r="S86" s="33">
        <v>313.625</v>
      </c>
      <c r="T86" s="33">
        <v>313.75</v>
      </c>
      <c r="U86" s="33">
        <v>312.125</v>
      </c>
      <c r="V86" s="33">
        <v>315</v>
      </c>
      <c r="W86" s="33">
        <v>312.5</v>
      </c>
      <c r="X86" s="33">
        <v>315.25</v>
      </c>
      <c r="Y86" s="21">
        <f t="shared" si="1"/>
        <v>313.81875000000002</v>
      </c>
    </row>
    <row r="87" spans="1:25" x14ac:dyDescent="0.25">
      <c r="A87">
        <v>1220</v>
      </c>
      <c r="B87">
        <v>0</v>
      </c>
      <c r="C87" t="s">
        <v>40</v>
      </c>
      <c r="D87" s="33">
        <v>311.875</v>
      </c>
      <c r="E87" s="33">
        <v>314.5</v>
      </c>
      <c r="F87" s="33">
        <v>313.875</v>
      </c>
      <c r="G87" s="33">
        <v>311.375</v>
      </c>
      <c r="H87" s="33">
        <v>314.375</v>
      </c>
      <c r="I87" s="33">
        <v>312.75</v>
      </c>
      <c r="J87" s="33">
        <v>310.625</v>
      </c>
      <c r="L87" s="33">
        <v>311.625</v>
      </c>
      <c r="M87" s="33">
        <v>313</v>
      </c>
      <c r="N87" s="33">
        <v>314.125</v>
      </c>
      <c r="O87" s="33">
        <v>315.375</v>
      </c>
      <c r="P87" s="33">
        <v>312.375</v>
      </c>
      <c r="Q87" s="33">
        <v>314.25</v>
      </c>
      <c r="R87" s="33">
        <v>316</v>
      </c>
      <c r="S87" s="33">
        <v>311.625</v>
      </c>
      <c r="T87" s="33">
        <v>314.125</v>
      </c>
      <c r="U87" s="33">
        <v>313.125</v>
      </c>
      <c r="V87" s="33">
        <v>315.875</v>
      </c>
      <c r="W87" s="33">
        <v>312.5</v>
      </c>
      <c r="X87" s="33">
        <v>310.5</v>
      </c>
      <c r="Y87" s="21">
        <f t="shared" si="1"/>
        <v>313.19375000000002</v>
      </c>
    </row>
    <row r="88" spans="1:25" x14ac:dyDescent="0.25">
      <c r="A88">
        <v>1240</v>
      </c>
      <c r="B88">
        <v>0</v>
      </c>
      <c r="C88" t="s">
        <v>40</v>
      </c>
      <c r="D88" s="33">
        <v>313.75</v>
      </c>
      <c r="E88" s="33">
        <v>314</v>
      </c>
      <c r="F88" s="33">
        <v>313</v>
      </c>
      <c r="G88" s="33">
        <v>314</v>
      </c>
      <c r="H88" s="33">
        <v>314.75</v>
      </c>
      <c r="I88" s="33">
        <v>315.5</v>
      </c>
      <c r="J88" s="33">
        <v>314</v>
      </c>
      <c r="L88" s="33">
        <v>314.625</v>
      </c>
      <c r="M88" s="33">
        <v>314.5</v>
      </c>
      <c r="N88" s="33">
        <v>311.125</v>
      </c>
      <c r="O88" s="33">
        <v>312.5</v>
      </c>
      <c r="P88" s="33">
        <v>312.75</v>
      </c>
      <c r="Q88" s="33">
        <v>314.625</v>
      </c>
      <c r="R88" s="33">
        <v>314</v>
      </c>
      <c r="S88" s="33">
        <v>313</v>
      </c>
      <c r="T88" s="33">
        <v>313.5</v>
      </c>
      <c r="U88" s="33">
        <v>314.125</v>
      </c>
      <c r="V88" s="33">
        <v>313.25</v>
      </c>
      <c r="W88" s="33">
        <v>313.375</v>
      </c>
      <c r="X88" s="33">
        <v>315</v>
      </c>
      <c r="Y88" s="21">
        <f t="shared" si="1"/>
        <v>313.76875000000001</v>
      </c>
    </row>
    <row r="89" spans="1:25" x14ac:dyDescent="0.25">
      <c r="A89">
        <v>1260</v>
      </c>
      <c r="B89">
        <v>0</v>
      </c>
      <c r="C89" t="s">
        <v>40</v>
      </c>
      <c r="D89" s="33">
        <v>313</v>
      </c>
      <c r="E89" s="33">
        <v>311.875</v>
      </c>
      <c r="F89" s="33">
        <v>314.375</v>
      </c>
      <c r="G89" s="33">
        <v>313.5</v>
      </c>
      <c r="H89" s="33">
        <v>312.875</v>
      </c>
      <c r="I89" s="33">
        <v>314.875</v>
      </c>
      <c r="J89" s="33">
        <v>315.375</v>
      </c>
      <c r="L89" s="33">
        <v>311.125</v>
      </c>
      <c r="M89" s="33">
        <v>313.5</v>
      </c>
      <c r="N89" s="33">
        <v>312.25</v>
      </c>
      <c r="O89" s="33">
        <v>314.125</v>
      </c>
      <c r="P89" s="33">
        <v>312.25</v>
      </c>
      <c r="Q89" s="33">
        <v>312.5</v>
      </c>
      <c r="R89" s="33">
        <v>313.25</v>
      </c>
      <c r="S89" s="33">
        <v>313.875</v>
      </c>
      <c r="T89" s="33">
        <v>311.5</v>
      </c>
      <c r="U89" s="33">
        <v>313.5</v>
      </c>
      <c r="V89" s="33">
        <v>313</v>
      </c>
      <c r="W89" s="33">
        <v>313.625</v>
      </c>
      <c r="X89" s="33">
        <v>316</v>
      </c>
      <c r="Y89" s="21">
        <f t="shared" si="1"/>
        <v>313.31875000000002</v>
      </c>
    </row>
    <row r="90" spans="1:25" x14ac:dyDescent="0.25">
      <c r="A90">
        <v>1280</v>
      </c>
      <c r="B90">
        <v>0</v>
      </c>
      <c r="C90" t="s">
        <v>40</v>
      </c>
      <c r="D90" s="33">
        <v>313.25</v>
      </c>
      <c r="E90" s="33">
        <v>313</v>
      </c>
      <c r="F90" s="33">
        <v>312.625</v>
      </c>
      <c r="G90" s="33">
        <v>312.375</v>
      </c>
      <c r="H90" s="33">
        <v>311.625</v>
      </c>
      <c r="I90" s="33">
        <v>314</v>
      </c>
      <c r="J90" s="33">
        <v>313.25</v>
      </c>
      <c r="L90" s="33">
        <v>312.75</v>
      </c>
      <c r="M90" s="33">
        <v>313</v>
      </c>
      <c r="N90" s="33">
        <v>313.125</v>
      </c>
      <c r="O90" s="33">
        <v>312.5</v>
      </c>
      <c r="P90" s="33">
        <v>312.875</v>
      </c>
      <c r="Q90" s="33">
        <v>314.75</v>
      </c>
      <c r="R90" s="33">
        <v>312.375</v>
      </c>
      <c r="S90" s="33">
        <v>312.625</v>
      </c>
      <c r="T90" s="33">
        <v>312.375</v>
      </c>
      <c r="U90" s="33">
        <v>312.25</v>
      </c>
      <c r="V90" s="33">
        <v>312.375</v>
      </c>
      <c r="W90" s="33">
        <v>312.75</v>
      </c>
      <c r="X90" s="33">
        <v>313.75</v>
      </c>
      <c r="Y90" s="21">
        <f t="shared" si="1"/>
        <v>312.88125000000002</v>
      </c>
    </row>
    <row r="91" spans="1:25" x14ac:dyDescent="0.25">
      <c r="A91">
        <v>1300</v>
      </c>
      <c r="B91">
        <v>0</v>
      </c>
      <c r="C91" t="s">
        <v>40</v>
      </c>
      <c r="D91" s="33">
        <v>313.5</v>
      </c>
      <c r="E91" s="33">
        <v>314.625</v>
      </c>
      <c r="F91" s="33">
        <v>310.75</v>
      </c>
      <c r="G91" s="33">
        <v>313.875</v>
      </c>
      <c r="H91" s="33">
        <v>313.375</v>
      </c>
      <c r="I91" s="33">
        <v>311.625</v>
      </c>
      <c r="J91" s="33">
        <v>312.375</v>
      </c>
      <c r="L91" s="33">
        <v>313.125</v>
      </c>
      <c r="M91" s="33">
        <v>311.375</v>
      </c>
      <c r="N91" s="33">
        <v>312.375</v>
      </c>
      <c r="O91" s="33">
        <v>311.25</v>
      </c>
      <c r="P91" s="33">
        <v>313.25</v>
      </c>
      <c r="Q91" s="33">
        <v>312.5</v>
      </c>
      <c r="R91" s="33">
        <v>313.5</v>
      </c>
      <c r="S91" s="33">
        <v>314.75</v>
      </c>
      <c r="T91" s="33">
        <v>314</v>
      </c>
      <c r="U91" s="33">
        <v>312.75</v>
      </c>
      <c r="V91" s="33">
        <v>311.875</v>
      </c>
      <c r="W91" s="33">
        <v>313.5</v>
      </c>
      <c r="X91" s="33">
        <v>312.25</v>
      </c>
      <c r="Y91" s="21">
        <f t="shared" si="1"/>
        <v>312.83125000000001</v>
      </c>
    </row>
    <row r="92" spans="1:25" x14ac:dyDescent="0.25">
      <c r="A92">
        <v>1320</v>
      </c>
      <c r="B92">
        <v>0</v>
      </c>
      <c r="C92" t="s">
        <v>40</v>
      </c>
      <c r="D92" s="33">
        <v>313.5</v>
      </c>
      <c r="E92" s="33">
        <v>313.625</v>
      </c>
      <c r="F92" s="33">
        <v>310.125</v>
      </c>
      <c r="G92" s="33">
        <v>312.25</v>
      </c>
      <c r="H92" s="33">
        <v>312.25</v>
      </c>
      <c r="I92" s="33">
        <v>311</v>
      </c>
      <c r="J92" s="33">
        <v>312.375</v>
      </c>
      <c r="L92" s="33">
        <v>308.5</v>
      </c>
      <c r="M92" s="33">
        <v>311</v>
      </c>
      <c r="N92" s="33">
        <v>308.25</v>
      </c>
      <c r="O92" s="33">
        <v>311.875</v>
      </c>
      <c r="P92" s="33">
        <v>314.25</v>
      </c>
      <c r="Q92" s="33">
        <v>312.75</v>
      </c>
      <c r="R92" s="33">
        <v>313.625</v>
      </c>
      <c r="S92" s="33">
        <v>311.625</v>
      </c>
      <c r="T92" s="33">
        <v>311.75</v>
      </c>
      <c r="U92" s="33">
        <v>314.125</v>
      </c>
      <c r="V92" s="33">
        <v>313.625</v>
      </c>
      <c r="W92" s="33">
        <v>312.875</v>
      </c>
      <c r="X92" s="33">
        <v>312.5</v>
      </c>
      <c r="Y92" s="21">
        <f t="shared" si="1"/>
        <v>312.09375</v>
      </c>
    </row>
    <row r="93" spans="1:25" x14ac:dyDescent="0.25">
      <c r="A93">
        <v>1340</v>
      </c>
      <c r="B93">
        <v>0</v>
      </c>
      <c r="C93" t="s">
        <v>40</v>
      </c>
      <c r="D93" s="33">
        <v>312.125</v>
      </c>
      <c r="E93" s="33">
        <v>311</v>
      </c>
      <c r="F93" s="33">
        <v>312.875</v>
      </c>
      <c r="G93" s="33">
        <v>313.75</v>
      </c>
      <c r="H93" s="33">
        <v>312.25</v>
      </c>
      <c r="I93" s="33">
        <v>314.25</v>
      </c>
      <c r="J93" s="33">
        <v>314.625</v>
      </c>
      <c r="L93" s="33">
        <v>314.625</v>
      </c>
      <c r="M93" s="33">
        <v>313.125</v>
      </c>
      <c r="N93" s="33">
        <v>313</v>
      </c>
      <c r="O93" s="33">
        <v>313.75</v>
      </c>
      <c r="P93" s="33">
        <v>314.125</v>
      </c>
      <c r="Q93" s="33">
        <v>312</v>
      </c>
      <c r="R93" s="33">
        <v>312.375</v>
      </c>
      <c r="S93" s="33">
        <v>312.625</v>
      </c>
      <c r="T93" s="33">
        <v>310.375</v>
      </c>
      <c r="U93" s="33">
        <v>315.75</v>
      </c>
      <c r="V93" s="33">
        <v>313.875</v>
      </c>
      <c r="W93" s="33">
        <v>313.875</v>
      </c>
      <c r="X93" s="33">
        <v>312.875</v>
      </c>
      <c r="Y93" s="21">
        <f t="shared" si="1"/>
        <v>313.16250000000002</v>
      </c>
    </row>
    <row r="94" spans="1:25" x14ac:dyDescent="0.25">
      <c r="A94">
        <v>1360</v>
      </c>
      <c r="B94">
        <v>0</v>
      </c>
      <c r="C94" t="s">
        <v>40</v>
      </c>
      <c r="D94" s="33">
        <v>311.75</v>
      </c>
      <c r="E94" s="33">
        <v>312.625</v>
      </c>
      <c r="F94" s="33">
        <v>314</v>
      </c>
      <c r="G94" s="33">
        <v>311.875</v>
      </c>
      <c r="H94" s="33">
        <v>313.25</v>
      </c>
      <c r="I94" s="33">
        <v>311.125</v>
      </c>
      <c r="J94" s="33">
        <v>312.5</v>
      </c>
      <c r="L94" s="33">
        <v>312</v>
      </c>
      <c r="M94" s="33">
        <v>311.5</v>
      </c>
      <c r="N94" s="33">
        <v>311.875</v>
      </c>
      <c r="O94" s="33">
        <v>313.25</v>
      </c>
      <c r="P94" s="33">
        <v>311.625</v>
      </c>
      <c r="Q94" s="33">
        <v>311.5</v>
      </c>
      <c r="R94" s="33">
        <v>310.5</v>
      </c>
      <c r="S94" s="33">
        <v>311.5</v>
      </c>
      <c r="T94" s="33">
        <v>313.125</v>
      </c>
      <c r="U94" s="33">
        <v>310.375</v>
      </c>
      <c r="V94" s="33">
        <v>312.625</v>
      </c>
      <c r="W94" s="33">
        <v>312.875</v>
      </c>
      <c r="X94" s="33">
        <v>313</v>
      </c>
      <c r="Y94" s="21">
        <f t="shared" si="1"/>
        <v>312.14375000000001</v>
      </c>
    </row>
    <row r="95" spans="1:25" x14ac:dyDescent="0.25">
      <c r="A95">
        <v>1380</v>
      </c>
      <c r="B95">
        <v>0</v>
      </c>
      <c r="C95" t="s">
        <v>40</v>
      </c>
      <c r="D95" s="33">
        <v>313.25</v>
      </c>
      <c r="E95" s="33">
        <v>311.625</v>
      </c>
      <c r="F95" s="33">
        <v>309.875</v>
      </c>
      <c r="G95" s="33">
        <v>311</v>
      </c>
      <c r="H95" s="33">
        <v>312.25</v>
      </c>
      <c r="I95" s="33">
        <v>311.375</v>
      </c>
      <c r="J95" s="33">
        <v>310.375</v>
      </c>
      <c r="L95" s="33">
        <v>312.125</v>
      </c>
      <c r="M95" s="33">
        <v>315.125</v>
      </c>
      <c r="N95" s="33">
        <v>312.875</v>
      </c>
      <c r="O95" s="33">
        <v>310.75</v>
      </c>
      <c r="P95" s="33">
        <v>315.625</v>
      </c>
      <c r="Q95" s="33">
        <v>311.5</v>
      </c>
      <c r="R95" s="33">
        <v>312.125</v>
      </c>
      <c r="S95" s="33">
        <v>312.125</v>
      </c>
      <c r="T95" s="33">
        <v>311.875</v>
      </c>
      <c r="U95" s="33">
        <v>312.125</v>
      </c>
      <c r="V95" s="33">
        <v>312.625</v>
      </c>
      <c r="W95" s="33">
        <v>313.625</v>
      </c>
      <c r="X95" s="33">
        <v>309.5</v>
      </c>
      <c r="Y95" s="21">
        <f t="shared" si="1"/>
        <v>312.08749999999998</v>
      </c>
    </row>
    <row r="96" spans="1:25" x14ac:dyDescent="0.25">
      <c r="A96">
        <v>1400</v>
      </c>
      <c r="B96">
        <v>0</v>
      </c>
      <c r="C96" t="s">
        <v>40</v>
      </c>
      <c r="D96" s="33">
        <v>311.625</v>
      </c>
      <c r="E96" s="33">
        <v>311.125</v>
      </c>
      <c r="F96" s="33">
        <v>311.875</v>
      </c>
      <c r="G96" s="33">
        <v>314.5</v>
      </c>
      <c r="H96" s="33">
        <v>312.375</v>
      </c>
      <c r="I96" s="33">
        <v>313.25</v>
      </c>
      <c r="J96" s="33">
        <v>314.75</v>
      </c>
      <c r="L96" s="33">
        <v>316.375</v>
      </c>
      <c r="M96" s="33">
        <v>312.125</v>
      </c>
      <c r="N96" s="33">
        <v>312.125</v>
      </c>
      <c r="O96" s="33">
        <v>310</v>
      </c>
      <c r="P96" s="33">
        <v>313.625</v>
      </c>
      <c r="Q96" s="33">
        <v>312</v>
      </c>
      <c r="R96" s="33">
        <v>313.75</v>
      </c>
      <c r="S96" s="33">
        <v>313.375</v>
      </c>
      <c r="T96" s="33">
        <v>314.875</v>
      </c>
      <c r="U96" s="33">
        <v>311.5</v>
      </c>
      <c r="V96" s="33">
        <v>312.125</v>
      </c>
      <c r="W96" s="33">
        <v>310.5</v>
      </c>
      <c r="X96" s="33">
        <v>311.875</v>
      </c>
      <c r="Y96" s="21">
        <f t="shared" si="1"/>
        <v>312.6875</v>
      </c>
    </row>
    <row r="97" spans="1:25" x14ac:dyDescent="0.25">
      <c r="A97">
        <v>1420</v>
      </c>
      <c r="B97">
        <v>0</v>
      </c>
      <c r="C97" t="s">
        <v>40</v>
      </c>
      <c r="D97" s="33">
        <v>313.125</v>
      </c>
      <c r="E97" s="33">
        <v>310.25</v>
      </c>
      <c r="F97" s="33">
        <v>311.75</v>
      </c>
      <c r="G97" s="33">
        <v>312.375</v>
      </c>
      <c r="H97" s="33">
        <v>314.875</v>
      </c>
      <c r="I97" s="33">
        <v>311.75</v>
      </c>
      <c r="J97" s="33">
        <v>311.375</v>
      </c>
      <c r="L97" s="33">
        <v>312.625</v>
      </c>
      <c r="M97" s="33">
        <v>317.5</v>
      </c>
      <c r="N97" s="33">
        <v>312.875</v>
      </c>
      <c r="O97" s="33">
        <v>313.375</v>
      </c>
      <c r="P97" s="33">
        <v>313.375</v>
      </c>
      <c r="Q97" s="33">
        <v>313.5</v>
      </c>
      <c r="R97" s="33">
        <v>312.625</v>
      </c>
      <c r="S97" s="33">
        <v>312.75</v>
      </c>
      <c r="T97" s="33">
        <v>312.5</v>
      </c>
      <c r="U97" s="33">
        <v>311.625</v>
      </c>
      <c r="V97" s="33">
        <v>313.75</v>
      </c>
      <c r="W97" s="33">
        <v>311.625</v>
      </c>
      <c r="X97" s="33">
        <v>312</v>
      </c>
      <c r="Y97" s="21">
        <f t="shared" si="1"/>
        <v>312.78125</v>
      </c>
    </row>
    <row r="98" spans="1:25" x14ac:dyDescent="0.25">
      <c r="A98">
        <v>1440</v>
      </c>
      <c r="B98">
        <v>0</v>
      </c>
      <c r="C98" t="s">
        <v>40</v>
      </c>
      <c r="D98" s="33">
        <v>314</v>
      </c>
      <c r="E98" s="33">
        <v>315.125</v>
      </c>
      <c r="F98" s="33">
        <v>314.875</v>
      </c>
      <c r="G98" s="33">
        <v>311.25</v>
      </c>
      <c r="H98" s="33">
        <v>311.75</v>
      </c>
      <c r="I98" s="33">
        <v>313.25</v>
      </c>
      <c r="J98" s="33">
        <v>312.375</v>
      </c>
      <c r="L98" s="33">
        <v>311</v>
      </c>
      <c r="M98" s="33">
        <v>312.25</v>
      </c>
      <c r="N98" s="33">
        <v>315.125</v>
      </c>
      <c r="O98" s="33">
        <v>312</v>
      </c>
      <c r="P98" s="33">
        <v>310.625</v>
      </c>
      <c r="Q98" s="33">
        <v>311.625</v>
      </c>
      <c r="R98" s="33">
        <v>313.5</v>
      </c>
      <c r="S98" s="33">
        <v>312.875</v>
      </c>
      <c r="T98" s="33">
        <v>313.375</v>
      </c>
      <c r="U98" s="33">
        <v>311.625</v>
      </c>
      <c r="V98" s="33">
        <v>310.5</v>
      </c>
      <c r="W98" s="33">
        <v>313.25</v>
      </c>
      <c r="X98" s="33">
        <v>312.25</v>
      </c>
      <c r="Y98" s="21">
        <f t="shared" si="1"/>
        <v>312.63125000000002</v>
      </c>
    </row>
    <row r="99" spans="1:25" x14ac:dyDescent="0.25">
      <c r="A99">
        <v>1460</v>
      </c>
      <c r="B99">
        <v>0</v>
      </c>
      <c r="C99" t="s">
        <v>40</v>
      </c>
      <c r="D99" s="33">
        <v>313.125</v>
      </c>
      <c r="E99" s="33">
        <v>312.875</v>
      </c>
      <c r="F99" s="33">
        <v>314.5</v>
      </c>
      <c r="G99" s="33">
        <v>314.5</v>
      </c>
      <c r="H99" s="33">
        <v>313.25</v>
      </c>
      <c r="I99" s="33">
        <v>312.5</v>
      </c>
      <c r="J99" s="33">
        <v>312.875</v>
      </c>
      <c r="L99" s="33">
        <v>314.25</v>
      </c>
      <c r="M99" s="33">
        <v>314.125</v>
      </c>
      <c r="N99" s="33">
        <v>312.5</v>
      </c>
      <c r="O99" s="33">
        <v>313.125</v>
      </c>
      <c r="P99" s="33">
        <v>313.75</v>
      </c>
      <c r="Q99" s="33">
        <v>314.25</v>
      </c>
      <c r="R99" s="33">
        <v>310.375</v>
      </c>
      <c r="S99" s="33">
        <v>312.375</v>
      </c>
      <c r="T99" s="33">
        <v>312</v>
      </c>
      <c r="U99" s="33">
        <v>313.75</v>
      </c>
      <c r="V99" s="33">
        <v>313</v>
      </c>
      <c r="W99" s="33">
        <v>313.875</v>
      </c>
      <c r="X99" s="33">
        <v>313.375</v>
      </c>
      <c r="Y99" s="21">
        <f t="shared" si="1"/>
        <v>313.21875</v>
      </c>
    </row>
    <row r="100" spans="1:25" x14ac:dyDescent="0.25">
      <c r="A100">
        <v>1480</v>
      </c>
      <c r="B100">
        <v>0</v>
      </c>
      <c r="C100" t="s">
        <v>40</v>
      </c>
      <c r="D100" s="33">
        <v>312.5</v>
      </c>
      <c r="E100" s="33">
        <v>313.625</v>
      </c>
      <c r="F100" s="33">
        <v>312.375</v>
      </c>
      <c r="G100" s="33">
        <v>313</v>
      </c>
      <c r="H100" s="33">
        <v>312.5</v>
      </c>
      <c r="I100" s="33">
        <v>313.875</v>
      </c>
      <c r="J100" s="33">
        <v>315.125</v>
      </c>
      <c r="L100" s="33">
        <v>313.625</v>
      </c>
      <c r="M100" s="33">
        <v>312.375</v>
      </c>
      <c r="N100" s="33">
        <v>312</v>
      </c>
      <c r="O100" s="33">
        <v>312.5</v>
      </c>
      <c r="P100" s="33">
        <v>315.125</v>
      </c>
      <c r="Q100" s="33">
        <v>314.375</v>
      </c>
      <c r="R100" s="33">
        <v>313.125</v>
      </c>
      <c r="S100" s="33">
        <v>312.75</v>
      </c>
      <c r="T100" s="33">
        <v>313</v>
      </c>
      <c r="U100" s="33">
        <v>310.875</v>
      </c>
      <c r="V100" s="33">
        <v>312.125</v>
      </c>
      <c r="W100" s="33">
        <v>310.875</v>
      </c>
      <c r="X100" s="33">
        <v>308.25</v>
      </c>
      <c r="Y100" s="21">
        <f t="shared" si="1"/>
        <v>312.7</v>
      </c>
    </row>
    <row r="101" spans="1:25" x14ac:dyDescent="0.25">
      <c r="A101">
        <v>1500</v>
      </c>
      <c r="B101">
        <v>0</v>
      </c>
      <c r="C101" t="s">
        <v>40</v>
      </c>
      <c r="D101" s="33">
        <v>314.625</v>
      </c>
      <c r="E101" s="33">
        <v>312.875</v>
      </c>
      <c r="F101" s="33">
        <v>313</v>
      </c>
      <c r="G101" s="33">
        <v>313.625</v>
      </c>
      <c r="H101" s="33">
        <v>311.625</v>
      </c>
      <c r="I101" s="33">
        <v>313.625</v>
      </c>
      <c r="J101" s="33">
        <v>312</v>
      </c>
      <c r="L101" s="33">
        <v>313</v>
      </c>
      <c r="M101" s="33">
        <v>314.125</v>
      </c>
      <c r="N101" s="33">
        <v>315.125</v>
      </c>
      <c r="O101" s="33">
        <v>312.625</v>
      </c>
      <c r="P101" s="33">
        <v>314.625</v>
      </c>
      <c r="Q101" s="33">
        <v>315.625</v>
      </c>
      <c r="R101" s="33">
        <v>313.125</v>
      </c>
      <c r="S101" s="33">
        <v>311.625</v>
      </c>
      <c r="T101" s="33">
        <v>313.25</v>
      </c>
      <c r="U101" s="33">
        <v>312.375</v>
      </c>
      <c r="V101" s="33">
        <v>313.375</v>
      </c>
      <c r="W101" s="33">
        <v>313.25</v>
      </c>
      <c r="X101" s="33">
        <v>311.875</v>
      </c>
      <c r="Y101" s="21">
        <f t="shared" si="1"/>
        <v>313.26875000000001</v>
      </c>
    </row>
    <row r="102" spans="1:25" x14ac:dyDescent="0.25">
      <c r="A102">
        <v>1520</v>
      </c>
      <c r="B102">
        <v>0</v>
      </c>
      <c r="C102" t="s">
        <v>40</v>
      </c>
      <c r="D102" s="33">
        <v>313.375</v>
      </c>
      <c r="E102" s="33">
        <v>311.375</v>
      </c>
      <c r="F102" s="33">
        <v>314.125</v>
      </c>
      <c r="G102" s="33">
        <v>312.375</v>
      </c>
      <c r="H102" s="33">
        <v>311.875</v>
      </c>
      <c r="I102" s="33">
        <v>311.75</v>
      </c>
      <c r="J102" s="33">
        <v>312.5</v>
      </c>
      <c r="L102" s="33">
        <v>312.625</v>
      </c>
      <c r="M102" s="33">
        <v>312.375</v>
      </c>
      <c r="N102" s="33">
        <v>313.75</v>
      </c>
      <c r="O102" s="33">
        <v>313.5</v>
      </c>
      <c r="P102" s="33">
        <v>313.375</v>
      </c>
      <c r="Q102" s="33">
        <v>311.5</v>
      </c>
      <c r="R102" s="33">
        <v>313.875</v>
      </c>
      <c r="S102" s="33">
        <v>312.625</v>
      </c>
      <c r="T102" s="33">
        <v>310.875</v>
      </c>
      <c r="U102" s="33">
        <v>316.75</v>
      </c>
      <c r="V102" s="33">
        <v>313</v>
      </c>
      <c r="W102" s="33">
        <v>312.75</v>
      </c>
      <c r="X102" s="33">
        <v>309.5</v>
      </c>
      <c r="Y102" s="21">
        <f t="shared" si="1"/>
        <v>312.69375000000002</v>
      </c>
    </row>
    <row r="103" spans="1:25" x14ac:dyDescent="0.25">
      <c r="A103">
        <v>1540</v>
      </c>
      <c r="B103">
        <v>0</v>
      </c>
      <c r="C103" t="s">
        <v>40</v>
      </c>
      <c r="D103" s="33">
        <v>315.125</v>
      </c>
      <c r="E103" s="33">
        <v>313.375</v>
      </c>
      <c r="F103" s="33">
        <v>311.25</v>
      </c>
      <c r="G103" s="33">
        <v>313.125</v>
      </c>
      <c r="H103" s="33">
        <v>310</v>
      </c>
      <c r="I103" s="33">
        <v>313.125</v>
      </c>
      <c r="J103" s="33">
        <v>313.75</v>
      </c>
      <c r="L103" s="33">
        <v>311.5</v>
      </c>
      <c r="M103" s="33">
        <v>314.25</v>
      </c>
      <c r="N103" s="33">
        <v>312.875</v>
      </c>
      <c r="O103" s="33">
        <v>314</v>
      </c>
      <c r="P103" s="33">
        <v>311.375</v>
      </c>
      <c r="Q103" s="33">
        <v>312.375</v>
      </c>
      <c r="R103" s="33">
        <v>312.625</v>
      </c>
      <c r="S103" s="33">
        <v>313.625</v>
      </c>
      <c r="T103" s="33">
        <v>314.625</v>
      </c>
      <c r="U103" s="33">
        <v>313.75</v>
      </c>
      <c r="V103" s="33">
        <v>312.75</v>
      </c>
      <c r="W103" s="33">
        <v>314.625</v>
      </c>
      <c r="X103" s="33">
        <v>312.25</v>
      </c>
      <c r="Y103" s="21">
        <f t="shared" si="1"/>
        <v>313.01875000000001</v>
      </c>
    </row>
    <row r="104" spans="1:25" x14ac:dyDescent="0.25">
      <c r="A104">
        <v>1560</v>
      </c>
      <c r="B104">
        <v>0</v>
      </c>
      <c r="C104" t="s">
        <v>40</v>
      </c>
      <c r="D104" s="33">
        <v>309.75</v>
      </c>
      <c r="E104" s="33">
        <v>312.5</v>
      </c>
      <c r="F104" s="33">
        <v>312.75</v>
      </c>
      <c r="G104" s="33">
        <v>313.375</v>
      </c>
      <c r="H104" s="33">
        <v>311.125</v>
      </c>
      <c r="I104" s="33">
        <v>310.25</v>
      </c>
      <c r="J104" s="33">
        <v>312.125</v>
      </c>
      <c r="L104" s="33">
        <v>311.125</v>
      </c>
      <c r="M104" s="33">
        <v>311.125</v>
      </c>
      <c r="N104" s="33">
        <v>314.25</v>
      </c>
      <c r="O104" s="33">
        <v>313.25</v>
      </c>
      <c r="P104" s="33">
        <v>311.625</v>
      </c>
      <c r="Q104" s="33">
        <v>311.125</v>
      </c>
      <c r="R104" s="33">
        <v>313.625</v>
      </c>
      <c r="S104" s="33">
        <v>311.625</v>
      </c>
      <c r="T104" s="33">
        <v>312.125</v>
      </c>
      <c r="U104" s="33">
        <v>313.625</v>
      </c>
      <c r="V104" s="33">
        <v>310</v>
      </c>
      <c r="W104" s="33">
        <v>312.375</v>
      </c>
      <c r="X104" s="33">
        <v>313.625</v>
      </c>
      <c r="Y104" s="21">
        <f t="shared" si="1"/>
        <v>312.06875000000002</v>
      </c>
    </row>
    <row r="105" spans="1:25" x14ac:dyDescent="0.25">
      <c r="A105">
        <v>1580</v>
      </c>
      <c r="B105">
        <v>0</v>
      </c>
      <c r="C105" t="s">
        <v>40</v>
      </c>
      <c r="D105" s="33">
        <v>312.375</v>
      </c>
      <c r="E105" s="33">
        <v>312.25</v>
      </c>
      <c r="F105" s="33">
        <v>311.5</v>
      </c>
      <c r="G105" s="33">
        <v>312.875</v>
      </c>
      <c r="H105" s="33">
        <v>315.5</v>
      </c>
      <c r="I105" s="33">
        <v>313.125</v>
      </c>
      <c r="J105" s="33">
        <v>314.5</v>
      </c>
      <c r="L105" s="33">
        <v>313.25</v>
      </c>
      <c r="M105" s="33">
        <v>311.5</v>
      </c>
      <c r="N105" s="33">
        <v>313.75</v>
      </c>
      <c r="O105" s="33">
        <v>312.25</v>
      </c>
      <c r="P105" s="33">
        <v>315.5</v>
      </c>
      <c r="Q105" s="33">
        <v>314.625</v>
      </c>
      <c r="R105" s="33">
        <v>314.25</v>
      </c>
      <c r="S105" s="33">
        <v>313.5</v>
      </c>
      <c r="T105" s="33">
        <v>312.125</v>
      </c>
      <c r="U105" s="33">
        <v>315.25</v>
      </c>
      <c r="V105" s="33">
        <v>314.5</v>
      </c>
      <c r="W105" s="33">
        <v>314.375</v>
      </c>
      <c r="X105" s="33">
        <v>312</v>
      </c>
      <c r="Y105" s="21">
        <f t="shared" si="1"/>
        <v>313.45</v>
      </c>
    </row>
    <row r="106" spans="1:25" x14ac:dyDescent="0.25">
      <c r="A106">
        <v>1600</v>
      </c>
      <c r="B106">
        <v>0</v>
      </c>
      <c r="C106" t="s">
        <v>40</v>
      </c>
      <c r="D106" s="33">
        <v>313.25</v>
      </c>
      <c r="E106" s="33">
        <v>315</v>
      </c>
      <c r="F106" s="33">
        <v>313.875</v>
      </c>
      <c r="G106" s="33">
        <v>313.125</v>
      </c>
      <c r="H106" s="33">
        <v>314.125</v>
      </c>
      <c r="I106" s="33">
        <v>314.125</v>
      </c>
      <c r="J106" s="33">
        <v>315</v>
      </c>
      <c r="L106" s="33">
        <v>312.75</v>
      </c>
      <c r="M106" s="33">
        <v>312.75</v>
      </c>
      <c r="N106" s="33">
        <v>311.625</v>
      </c>
      <c r="O106" s="33">
        <v>311</v>
      </c>
      <c r="P106" s="33">
        <v>314.75</v>
      </c>
      <c r="Q106" s="33">
        <v>316.25</v>
      </c>
      <c r="R106" s="33">
        <v>314.625</v>
      </c>
      <c r="S106" s="33">
        <v>315.25</v>
      </c>
      <c r="T106" s="33">
        <v>314</v>
      </c>
      <c r="U106" s="33">
        <v>314.375</v>
      </c>
      <c r="V106" s="33">
        <v>311.625</v>
      </c>
      <c r="W106" s="33">
        <v>311.625</v>
      </c>
      <c r="X106" s="33">
        <v>314.25</v>
      </c>
      <c r="Y106" s="21">
        <f t="shared" si="1"/>
        <v>313.66874999999999</v>
      </c>
    </row>
    <row r="107" spans="1:25" x14ac:dyDescent="0.25">
      <c r="A107">
        <v>1620</v>
      </c>
      <c r="B107">
        <v>0</v>
      </c>
      <c r="C107" t="s">
        <v>40</v>
      </c>
      <c r="D107" s="33">
        <v>311.5</v>
      </c>
      <c r="E107" s="33">
        <v>314.375</v>
      </c>
      <c r="F107" s="33">
        <v>312.75</v>
      </c>
      <c r="G107" s="33">
        <v>314.625</v>
      </c>
      <c r="H107" s="33">
        <v>312</v>
      </c>
      <c r="I107" s="33">
        <v>315.375</v>
      </c>
      <c r="J107" s="33">
        <v>313.25</v>
      </c>
      <c r="L107" s="33">
        <v>314</v>
      </c>
      <c r="M107" s="33">
        <v>312</v>
      </c>
      <c r="N107" s="33">
        <v>315</v>
      </c>
      <c r="O107" s="33">
        <v>313.75</v>
      </c>
      <c r="P107" s="33">
        <v>314.25</v>
      </c>
      <c r="Q107" s="33">
        <v>313.125</v>
      </c>
      <c r="R107" s="33">
        <v>312</v>
      </c>
      <c r="S107" s="33">
        <v>315.25</v>
      </c>
      <c r="T107" s="33">
        <v>314.375</v>
      </c>
      <c r="U107" s="33">
        <v>317</v>
      </c>
      <c r="V107" s="33">
        <v>312.125</v>
      </c>
      <c r="W107" s="33">
        <v>314.5</v>
      </c>
      <c r="X107" s="33">
        <v>312.5</v>
      </c>
      <c r="Y107" s="21">
        <f t="shared" si="1"/>
        <v>313.6875</v>
      </c>
    </row>
    <row r="108" spans="1:25" x14ac:dyDescent="0.25">
      <c r="A108">
        <v>1640</v>
      </c>
      <c r="B108">
        <v>0</v>
      </c>
      <c r="C108" t="s">
        <v>40</v>
      </c>
      <c r="D108" s="33">
        <v>315.5</v>
      </c>
      <c r="E108" s="33">
        <v>317</v>
      </c>
      <c r="F108" s="33">
        <v>313.75</v>
      </c>
      <c r="G108" s="33">
        <v>315.75</v>
      </c>
      <c r="H108" s="33">
        <v>313.375</v>
      </c>
      <c r="I108" s="33">
        <v>313</v>
      </c>
      <c r="J108" s="33">
        <v>315</v>
      </c>
      <c r="L108" s="33">
        <v>315.5</v>
      </c>
      <c r="M108" s="33">
        <v>315.875</v>
      </c>
      <c r="N108" s="33">
        <v>314.25</v>
      </c>
      <c r="O108" s="33">
        <v>316.625</v>
      </c>
      <c r="P108" s="33">
        <v>313.625</v>
      </c>
      <c r="Q108" s="33">
        <v>315.875</v>
      </c>
      <c r="R108" s="33">
        <v>312.25</v>
      </c>
      <c r="S108" s="33">
        <v>316.25</v>
      </c>
      <c r="T108" s="33">
        <v>314.625</v>
      </c>
      <c r="U108" s="33">
        <v>313.625</v>
      </c>
      <c r="V108" s="33">
        <v>314</v>
      </c>
      <c r="W108" s="33">
        <v>312.75</v>
      </c>
      <c r="X108" s="33">
        <v>314.375</v>
      </c>
      <c r="Y108" s="21">
        <f t="shared" si="1"/>
        <v>314.64999999999998</v>
      </c>
    </row>
    <row r="109" spans="1:25" x14ac:dyDescent="0.25">
      <c r="A109">
        <v>1660</v>
      </c>
      <c r="B109">
        <v>0</v>
      </c>
      <c r="C109" t="s">
        <v>40</v>
      </c>
      <c r="D109" s="33">
        <v>318.125</v>
      </c>
      <c r="E109" s="33">
        <v>316.25</v>
      </c>
      <c r="F109" s="33">
        <v>318</v>
      </c>
      <c r="G109" s="33">
        <v>314.625</v>
      </c>
      <c r="H109" s="33">
        <v>318.125</v>
      </c>
      <c r="I109" s="33">
        <v>314.375</v>
      </c>
      <c r="J109" s="33">
        <v>314.5</v>
      </c>
      <c r="L109" s="33">
        <v>317</v>
      </c>
      <c r="M109" s="33">
        <v>314.625</v>
      </c>
      <c r="N109" s="33">
        <v>313.875</v>
      </c>
      <c r="O109" s="33">
        <v>315.25</v>
      </c>
      <c r="P109" s="33">
        <v>315.625</v>
      </c>
      <c r="Q109" s="33">
        <v>316.5</v>
      </c>
      <c r="R109" s="33">
        <v>314.625</v>
      </c>
      <c r="S109" s="33">
        <v>312.75</v>
      </c>
      <c r="T109" s="33">
        <v>314.75</v>
      </c>
      <c r="U109" s="33">
        <v>317.75</v>
      </c>
      <c r="V109" s="33">
        <v>314.625</v>
      </c>
      <c r="W109" s="33">
        <v>314.875</v>
      </c>
      <c r="X109" s="33">
        <v>315.25</v>
      </c>
      <c r="Y109" s="21">
        <f t="shared" si="1"/>
        <v>315.57499999999999</v>
      </c>
    </row>
    <row r="110" spans="1:25" x14ac:dyDescent="0.25">
      <c r="A110">
        <v>1680</v>
      </c>
      <c r="B110">
        <v>0</v>
      </c>
      <c r="C110" t="s">
        <v>40</v>
      </c>
      <c r="D110" s="33">
        <v>315.375</v>
      </c>
      <c r="E110" s="33">
        <v>316.5</v>
      </c>
      <c r="F110" s="33">
        <v>316</v>
      </c>
      <c r="G110" s="33">
        <v>318</v>
      </c>
      <c r="H110" s="33">
        <v>314.25</v>
      </c>
      <c r="I110" s="33">
        <v>314.875</v>
      </c>
      <c r="J110" s="33">
        <v>317.25</v>
      </c>
      <c r="L110" s="33">
        <v>316.25</v>
      </c>
      <c r="M110" s="33">
        <v>313.625</v>
      </c>
      <c r="N110" s="33">
        <v>316.25</v>
      </c>
      <c r="O110" s="33">
        <v>316</v>
      </c>
      <c r="P110" s="33">
        <v>313.625</v>
      </c>
      <c r="Q110" s="33">
        <v>314.625</v>
      </c>
      <c r="R110" s="33">
        <v>315.5</v>
      </c>
      <c r="S110" s="33">
        <v>317.375</v>
      </c>
      <c r="T110" s="33">
        <v>318.125</v>
      </c>
      <c r="U110" s="33">
        <v>317.375</v>
      </c>
      <c r="V110" s="33">
        <v>315.625</v>
      </c>
      <c r="W110" s="33">
        <v>314.625</v>
      </c>
      <c r="X110" s="33">
        <v>314.25</v>
      </c>
      <c r="Y110" s="21">
        <f t="shared" si="1"/>
        <v>315.77499999999998</v>
      </c>
    </row>
    <row r="111" spans="1:25" x14ac:dyDescent="0.25">
      <c r="A111">
        <v>1700</v>
      </c>
      <c r="B111">
        <v>0</v>
      </c>
      <c r="C111" t="s">
        <v>40</v>
      </c>
      <c r="D111" s="33">
        <v>318.125</v>
      </c>
      <c r="E111" s="33">
        <v>319</v>
      </c>
      <c r="F111" s="33">
        <v>315.75</v>
      </c>
      <c r="G111" s="33">
        <v>316.5</v>
      </c>
      <c r="H111" s="33">
        <v>318.625</v>
      </c>
      <c r="I111" s="33">
        <v>317.125</v>
      </c>
      <c r="J111" s="33">
        <v>317.625</v>
      </c>
      <c r="L111" s="33">
        <v>316</v>
      </c>
      <c r="M111" s="33">
        <v>314.5</v>
      </c>
      <c r="N111" s="33">
        <v>316.875</v>
      </c>
      <c r="O111" s="33">
        <v>314.625</v>
      </c>
      <c r="P111" s="33">
        <v>315.25</v>
      </c>
      <c r="Q111" s="33">
        <v>311.375</v>
      </c>
      <c r="R111" s="33">
        <v>318</v>
      </c>
      <c r="S111" s="33">
        <v>317.375</v>
      </c>
      <c r="T111" s="33">
        <v>316.75</v>
      </c>
      <c r="U111" s="33">
        <v>315.625</v>
      </c>
      <c r="V111" s="33">
        <v>317.125</v>
      </c>
      <c r="W111" s="33">
        <v>315.625</v>
      </c>
      <c r="X111" s="33">
        <v>316.375</v>
      </c>
      <c r="Y111" s="21">
        <f t="shared" si="1"/>
        <v>316.41250000000002</v>
      </c>
    </row>
    <row r="112" spans="1:25" x14ac:dyDescent="0.25">
      <c r="A112">
        <v>1720</v>
      </c>
      <c r="B112">
        <v>0</v>
      </c>
      <c r="C112" t="s">
        <v>40</v>
      </c>
      <c r="D112" s="33">
        <v>318.375</v>
      </c>
      <c r="E112" s="33">
        <v>316.75</v>
      </c>
      <c r="F112" s="33">
        <v>317.125</v>
      </c>
      <c r="G112" s="33">
        <v>316.125</v>
      </c>
      <c r="H112" s="33">
        <v>317.75</v>
      </c>
      <c r="I112" s="33">
        <v>319.625</v>
      </c>
      <c r="J112" s="33">
        <v>319.75</v>
      </c>
      <c r="L112" s="33">
        <v>319.5</v>
      </c>
      <c r="M112" s="33">
        <v>318.625</v>
      </c>
      <c r="N112" s="33">
        <v>319.125</v>
      </c>
      <c r="O112" s="33">
        <v>318.875</v>
      </c>
      <c r="P112" s="33">
        <v>317</v>
      </c>
      <c r="Q112" s="33">
        <v>317.625</v>
      </c>
      <c r="R112" s="33">
        <v>317.625</v>
      </c>
      <c r="S112" s="33">
        <v>316.75</v>
      </c>
      <c r="T112" s="33">
        <v>318.625</v>
      </c>
      <c r="U112" s="33">
        <v>317.375</v>
      </c>
      <c r="V112" s="33">
        <v>316.75</v>
      </c>
      <c r="W112" s="33">
        <v>316.875</v>
      </c>
      <c r="X112" s="33">
        <v>318.25</v>
      </c>
      <c r="Y112" s="21">
        <f t="shared" si="1"/>
        <v>317.92500000000001</v>
      </c>
    </row>
    <row r="113" spans="1:25" x14ac:dyDescent="0.25">
      <c r="A113">
        <v>1740</v>
      </c>
      <c r="B113">
        <v>0</v>
      </c>
      <c r="C113" t="s">
        <v>40</v>
      </c>
      <c r="D113" s="33">
        <v>318.875</v>
      </c>
      <c r="E113" s="33">
        <v>316.75</v>
      </c>
      <c r="F113" s="33">
        <v>318</v>
      </c>
      <c r="G113" s="33">
        <v>316.875</v>
      </c>
      <c r="H113" s="33">
        <v>321.625</v>
      </c>
      <c r="I113" s="33">
        <v>318.875</v>
      </c>
      <c r="J113" s="33">
        <v>320.375</v>
      </c>
      <c r="L113" s="33">
        <v>321.25</v>
      </c>
      <c r="M113" s="33">
        <v>319.625</v>
      </c>
      <c r="N113" s="33">
        <v>318.625</v>
      </c>
      <c r="O113" s="33">
        <v>319.375</v>
      </c>
      <c r="P113" s="33">
        <v>317.5</v>
      </c>
      <c r="Q113" s="33">
        <v>318.375</v>
      </c>
      <c r="R113" s="33">
        <v>318.125</v>
      </c>
      <c r="S113" s="33">
        <v>317.625</v>
      </c>
      <c r="T113" s="33">
        <v>318.875</v>
      </c>
      <c r="U113" s="33">
        <v>317.5</v>
      </c>
      <c r="V113" s="33">
        <v>319.375</v>
      </c>
      <c r="W113" s="33">
        <v>317.5</v>
      </c>
      <c r="X113" s="33">
        <v>315.875</v>
      </c>
      <c r="Y113" s="21">
        <f t="shared" si="1"/>
        <v>318.55</v>
      </c>
    </row>
    <row r="114" spans="1:25" x14ac:dyDescent="0.25">
      <c r="A114">
        <v>1760</v>
      </c>
      <c r="B114">
        <v>0</v>
      </c>
      <c r="C114" t="s">
        <v>40</v>
      </c>
      <c r="D114" s="33">
        <v>319.625</v>
      </c>
      <c r="E114" s="33">
        <v>320.625</v>
      </c>
      <c r="F114" s="33">
        <v>319.5</v>
      </c>
      <c r="G114" s="33">
        <v>320.125</v>
      </c>
      <c r="H114" s="33">
        <v>318.875</v>
      </c>
      <c r="I114" s="33">
        <v>319.75</v>
      </c>
      <c r="J114" s="33">
        <v>320.25</v>
      </c>
      <c r="L114" s="33">
        <v>318.25</v>
      </c>
      <c r="M114" s="33">
        <v>316.5</v>
      </c>
      <c r="N114" s="33">
        <v>318</v>
      </c>
      <c r="O114" s="33">
        <v>319.875</v>
      </c>
      <c r="P114" s="33">
        <v>319</v>
      </c>
      <c r="Q114" s="33">
        <v>316.875</v>
      </c>
      <c r="R114" s="33">
        <v>320.75</v>
      </c>
      <c r="S114" s="33">
        <v>319.875</v>
      </c>
      <c r="T114" s="33">
        <v>320.125</v>
      </c>
      <c r="U114" s="33">
        <v>321</v>
      </c>
      <c r="V114" s="33">
        <v>317.75</v>
      </c>
      <c r="W114" s="33">
        <v>319.125</v>
      </c>
      <c r="X114" s="33">
        <v>318</v>
      </c>
      <c r="Y114" s="21">
        <f t="shared" si="1"/>
        <v>319.19375000000002</v>
      </c>
    </row>
    <row r="115" spans="1:25" x14ac:dyDescent="0.25">
      <c r="A115">
        <v>1780</v>
      </c>
      <c r="B115">
        <v>0</v>
      </c>
      <c r="C115" t="s">
        <v>40</v>
      </c>
      <c r="D115" s="33">
        <v>316.5</v>
      </c>
      <c r="E115" s="33">
        <v>319.125</v>
      </c>
      <c r="F115" s="33">
        <v>317.375</v>
      </c>
      <c r="G115" s="33">
        <v>318.875</v>
      </c>
      <c r="H115" s="33">
        <v>319.625</v>
      </c>
      <c r="I115" s="33">
        <v>321</v>
      </c>
      <c r="J115" s="33">
        <v>321.625</v>
      </c>
      <c r="L115" s="33">
        <v>319.375</v>
      </c>
      <c r="M115" s="33">
        <v>316.25</v>
      </c>
      <c r="N115" s="33">
        <v>314.75</v>
      </c>
      <c r="O115" s="33">
        <v>317.375</v>
      </c>
      <c r="P115" s="33">
        <v>318.5</v>
      </c>
      <c r="Q115" s="33">
        <v>316.875</v>
      </c>
      <c r="R115" s="33">
        <v>321.875</v>
      </c>
      <c r="S115" s="33">
        <v>318.75</v>
      </c>
      <c r="T115" s="33">
        <v>320.25</v>
      </c>
      <c r="U115" s="33">
        <v>319.625</v>
      </c>
      <c r="V115" s="33">
        <v>319.5</v>
      </c>
      <c r="W115" s="33">
        <v>319.75</v>
      </c>
      <c r="X115" s="33">
        <v>317.375</v>
      </c>
      <c r="Y115" s="21">
        <f t="shared" si="1"/>
        <v>318.71875</v>
      </c>
    </row>
    <row r="116" spans="1:25" x14ac:dyDescent="0.25">
      <c r="Y116" s="32">
        <f>AVERAGE(Y61:Y115)</f>
        <v>314.86727272727268</v>
      </c>
    </row>
    <row r="122" spans="1:25" x14ac:dyDescent="0.25">
      <c r="A122">
        <v>700</v>
      </c>
      <c r="B122">
        <v>1</v>
      </c>
      <c r="C122" t="s">
        <v>41</v>
      </c>
      <c r="D122" s="33">
        <v>306</v>
      </c>
      <c r="E122" s="33">
        <v>302.625</v>
      </c>
      <c r="F122" s="33">
        <v>304.75</v>
      </c>
      <c r="G122" s="33">
        <v>305.625</v>
      </c>
      <c r="H122" s="33">
        <v>306</v>
      </c>
      <c r="I122" s="33">
        <v>303.5</v>
      </c>
      <c r="J122" s="33">
        <v>302.875</v>
      </c>
      <c r="L122" s="33">
        <v>305.125</v>
      </c>
      <c r="M122" s="33">
        <v>304.625</v>
      </c>
      <c r="N122" s="33">
        <v>305.625</v>
      </c>
      <c r="O122" s="33">
        <v>304.25</v>
      </c>
      <c r="P122" s="33">
        <v>302.5</v>
      </c>
      <c r="Q122" s="33">
        <v>304.625</v>
      </c>
      <c r="R122" s="33">
        <v>304.75</v>
      </c>
      <c r="S122" s="33">
        <v>305.375</v>
      </c>
      <c r="T122" s="33">
        <v>304.5</v>
      </c>
      <c r="U122" s="33">
        <v>306.25</v>
      </c>
      <c r="V122" s="33">
        <v>304.375</v>
      </c>
      <c r="W122" s="33">
        <v>302.75</v>
      </c>
      <c r="X122" s="33">
        <v>304.5</v>
      </c>
      <c r="Y122" s="21">
        <f t="shared" si="1"/>
        <v>304.53125</v>
      </c>
    </row>
    <row r="123" spans="1:25" x14ac:dyDescent="0.25">
      <c r="A123">
        <v>720</v>
      </c>
      <c r="B123">
        <v>1</v>
      </c>
      <c r="C123" t="s">
        <v>41</v>
      </c>
      <c r="D123" s="33">
        <v>304.875</v>
      </c>
      <c r="E123" s="33">
        <v>305.25</v>
      </c>
      <c r="F123" s="33">
        <v>298.125</v>
      </c>
      <c r="G123" s="33">
        <v>303.875</v>
      </c>
      <c r="H123" s="33">
        <v>302.375</v>
      </c>
      <c r="I123" s="33">
        <v>302.625</v>
      </c>
      <c r="J123" s="33">
        <v>304.375</v>
      </c>
      <c r="L123" s="33">
        <v>303.875</v>
      </c>
      <c r="M123" s="33">
        <v>303.125</v>
      </c>
      <c r="N123" s="33">
        <v>302.25</v>
      </c>
      <c r="O123" s="33">
        <v>305</v>
      </c>
      <c r="P123" s="33">
        <v>305.875</v>
      </c>
      <c r="Q123" s="33">
        <v>302</v>
      </c>
      <c r="R123" s="33">
        <v>301.5</v>
      </c>
      <c r="S123" s="33">
        <v>301.375</v>
      </c>
      <c r="T123" s="33">
        <v>305</v>
      </c>
      <c r="U123" s="33">
        <v>304.625</v>
      </c>
      <c r="V123" s="33">
        <v>301.875</v>
      </c>
      <c r="W123" s="33">
        <v>304.125</v>
      </c>
      <c r="X123" s="33">
        <v>302.625</v>
      </c>
      <c r="Y123" s="21">
        <f t="shared" si="1"/>
        <v>303.23750000000001</v>
      </c>
    </row>
    <row r="124" spans="1:25" x14ac:dyDescent="0.25">
      <c r="A124">
        <v>740</v>
      </c>
      <c r="B124">
        <v>1</v>
      </c>
      <c r="C124" t="s">
        <v>41</v>
      </c>
      <c r="D124" s="33">
        <v>302.875</v>
      </c>
      <c r="E124" s="33">
        <v>304.875</v>
      </c>
      <c r="F124" s="33">
        <v>303.375</v>
      </c>
      <c r="G124" s="33">
        <v>302.125</v>
      </c>
      <c r="H124" s="33">
        <v>303.5</v>
      </c>
      <c r="I124" s="33">
        <v>294.25</v>
      </c>
      <c r="J124" s="33">
        <v>304.125</v>
      </c>
      <c r="L124" s="33">
        <v>301.125</v>
      </c>
      <c r="M124" s="33">
        <v>297.5</v>
      </c>
      <c r="N124" s="33">
        <v>306.25</v>
      </c>
      <c r="O124" s="33">
        <v>301.875</v>
      </c>
      <c r="P124" s="33">
        <v>307.5</v>
      </c>
      <c r="Q124" s="33">
        <v>303.125</v>
      </c>
      <c r="R124" s="33">
        <v>302.75</v>
      </c>
      <c r="S124" s="33">
        <v>304.625</v>
      </c>
      <c r="T124" s="33">
        <v>303.875</v>
      </c>
      <c r="U124" s="33">
        <v>303.75</v>
      </c>
      <c r="V124" s="33">
        <v>303.25</v>
      </c>
      <c r="W124" s="33">
        <v>301.25</v>
      </c>
      <c r="X124" s="33">
        <v>303.75</v>
      </c>
      <c r="Y124" s="21">
        <f t="shared" si="1"/>
        <v>302.78750000000002</v>
      </c>
    </row>
    <row r="125" spans="1:25" x14ac:dyDescent="0.25">
      <c r="A125">
        <v>760</v>
      </c>
      <c r="B125">
        <v>1</v>
      </c>
      <c r="C125" t="s">
        <v>41</v>
      </c>
      <c r="D125" s="33">
        <v>301.625</v>
      </c>
      <c r="E125" s="33">
        <v>302.375</v>
      </c>
      <c r="F125" s="33">
        <v>301.5</v>
      </c>
      <c r="G125" s="33">
        <v>302.25</v>
      </c>
      <c r="H125" s="33">
        <v>303.875</v>
      </c>
      <c r="I125" s="33">
        <v>303.5</v>
      </c>
      <c r="J125" s="33">
        <v>300.875</v>
      </c>
      <c r="L125" s="33">
        <v>299.875</v>
      </c>
      <c r="M125" s="33">
        <v>304.5</v>
      </c>
      <c r="N125" s="33">
        <v>304.375</v>
      </c>
      <c r="O125" s="33">
        <v>303.5</v>
      </c>
      <c r="P125" s="33">
        <v>302.625</v>
      </c>
      <c r="Q125" s="33">
        <v>302.25</v>
      </c>
      <c r="R125" s="33">
        <v>303.375</v>
      </c>
      <c r="S125" s="33">
        <v>301</v>
      </c>
      <c r="T125" s="33">
        <v>302.375</v>
      </c>
      <c r="U125" s="33">
        <v>305.25</v>
      </c>
      <c r="V125" s="33">
        <v>302.375</v>
      </c>
      <c r="W125" s="33">
        <v>302.125</v>
      </c>
      <c r="X125" s="33">
        <v>301.875</v>
      </c>
      <c r="Y125" s="21">
        <f t="shared" ref="Y125:Y175" si="2">AVERAGE(D125:X125)</f>
        <v>302.57499999999999</v>
      </c>
    </row>
    <row r="126" spans="1:25" x14ac:dyDescent="0.25">
      <c r="A126">
        <v>780</v>
      </c>
      <c r="B126">
        <v>1</v>
      </c>
      <c r="C126" t="s">
        <v>41</v>
      </c>
      <c r="D126" s="33">
        <v>302.125</v>
      </c>
      <c r="E126" s="33">
        <v>301.75</v>
      </c>
      <c r="F126" s="33">
        <v>301.875</v>
      </c>
      <c r="G126" s="33">
        <v>303.375</v>
      </c>
      <c r="H126" s="33">
        <v>301.875</v>
      </c>
      <c r="I126" s="33">
        <v>302.5</v>
      </c>
      <c r="J126" s="33">
        <v>301.625</v>
      </c>
      <c r="L126" s="33">
        <v>301.25</v>
      </c>
      <c r="M126" s="33">
        <v>303.125</v>
      </c>
      <c r="N126" s="33">
        <v>304.75</v>
      </c>
      <c r="O126" s="33">
        <v>300.75</v>
      </c>
      <c r="P126" s="33">
        <v>304.375</v>
      </c>
      <c r="Q126" s="33">
        <v>303.5</v>
      </c>
      <c r="R126" s="33">
        <v>303.875</v>
      </c>
      <c r="S126" s="33">
        <v>304.5</v>
      </c>
      <c r="T126" s="33">
        <v>301</v>
      </c>
      <c r="U126" s="33">
        <v>304.25</v>
      </c>
      <c r="V126" s="33">
        <v>302.75</v>
      </c>
      <c r="W126" s="33">
        <v>297.875</v>
      </c>
      <c r="X126" s="33">
        <v>303.625</v>
      </c>
      <c r="Y126" s="21">
        <f t="shared" si="2"/>
        <v>302.53750000000002</v>
      </c>
    </row>
    <row r="127" spans="1:25" x14ac:dyDescent="0.25">
      <c r="A127">
        <v>800</v>
      </c>
      <c r="B127">
        <v>1</v>
      </c>
      <c r="C127" t="s">
        <v>41</v>
      </c>
      <c r="D127" s="33">
        <v>302.25</v>
      </c>
      <c r="E127" s="33">
        <v>303.5</v>
      </c>
      <c r="F127" s="33">
        <v>304.125</v>
      </c>
      <c r="G127" s="33">
        <v>299.25</v>
      </c>
      <c r="H127" s="33">
        <v>299.375</v>
      </c>
      <c r="I127" s="33">
        <v>301.25</v>
      </c>
      <c r="J127" s="33">
        <v>301.125</v>
      </c>
      <c r="L127" s="33">
        <v>302.75</v>
      </c>
      <c r="M127" s="33">
        <v>303.875</v>
      </c>
      <c r="N127" s="33">
        <v>302.5</v>
      </c>
      <c r="O127" s="33">
        <v>303.625</v>
      </c>
      <c r="P127" s="33">
        <v>304.125</v>
      </c>
      <c r="Q127" s="33">
        <v>304</v>
      </c>
      <c r="R127" s="33">
        <v>301</v>
      </c>
      <c r="S127" s="33">
        <v>302</v>
      </c>
      <c r="T127" s="33">
        <v>304.75</v>
      </c>
      <c r="U127" s="33">
        <v>303.625</v>
      </c>
      <c r="V127" s="33">
        <v>302.375</v>
      </c>
      <c r="W127" s="33">
        <v>302.375</v>
      </c>
      <c r="X127" s="33">
        <v>302.375</v>
      </c>
      <c r="Y127" s="21">
        <f t="shared" si="2"/>
        <v>302.51249999999999</v>
      </c>
    </row>
    <row r="128" spans="1:25" x14ac:dyDescent="0.25">
      <c r="A128">
        <v>820</v>
      </c>
      <c r="B128">
        <v>1</v>
      </c>
      <c r="C128" t="s">
        <v>41</v>
      </c>
      <c r="D128" s="33">
        <v>301.625</v>
      </c>
      <c r="E128" s="33">
        <v>301.375</v>
      </c>
      <c r="F128" s="33">
        <v>300.125</v>
      </c>
      <c r="G128" s="33">
        <v>301.75</v>
      </c>
      <c r="H128" s="33">
        <v>302.5</v>
      </c>
      <c r="I128" s="33">
        <v>303.875</v>
      </c>
      <c r="J128" s="33">
        <v>301.375</v>
      </c>
      <c r="L128" s="33">
        <v>300.375</v>
      </c>
      <c r="M128" s="33">
        <v>304.375</v>
      </c>
      <c r="N128" s="33">
        <v>304.125</v>
      </c>
      <c r="O128" s="33">
        <v>303.125</v>
      </c>
      <c r="P128" s="33">
        <v>301.625</v>
      </c>
      <c r="Q128" s="33">
        <v>302.875</v>
      </c>
      <c r="R128" s="33">
        <v>303</v>
      </c>
      <c r="S128" s="33">
        <v>302.125</v>
      </c>
      <c r="T128" s="33">
        <v>303.625</v>
      </c>
      <c r="U128" s="33">
        <v>304.75</v>
      </c>
      <c r="V128" s="33">
        <v>300.625</v>
      </c>
      <c r="W128" s="33">
        <v>304.125</v>
      </c>
      <c r="X128" s="33">
        <v>302.125</v>
      </c>
      <c r="Y128" s="21">
        <f t="shared" si="2"/>
        <v>302.47500000000002</v>
      </c>
    </row>
    <row r="129" spans="1:25" x14ac:dyDescent="0.25">
      <c r="A129">
        <v>840</v>
      </c>
      <c r="B129">
        <v>1</v>
      </c>
      <c r="C129" t="s">
        <v>41</v>
      </c>
      <c r="D129" s="33">
        <v>300.25</v>
      </c>
      <c r="E129" s="33">
        <v>303.375</v>
      </c>
      <c r="F129" s="33">
        <v>300.75</v>
      </c>
      <c r="G129" s="33">
        <v>303.125</v>
      </c>
      <c r="H129" s="33">
        <v>305.625</v>
      </c>
      <c r="I129" s="33">
        <v>304</v>
      </c>
      <c r="J129" s="33">
        <v>303</v>
      </c>
      <c r="L129" s="33">
        <v>302.75</v>
      </c>
      <c r="M129" s="33">
        <v>301.375</v>
      </c>
      <c r="N129" s="33">
        <v>302.875</v>
      </c>
      <c r="O129" s="33">
        <v>299.625</v>
      </c>
      <c r="P129" s="33">
        <v>302</v>
      </c>
      <c r="Q129" s="33">
        <v>302.5</v>
      </c>
      <c r="R129" s="33">
        <v>301.5</v>
      </c>
      <c r="S129" s="33">
        <v>302.875</v>
      </c>
      <c r="T129" s="33">
        <v>304.125</v>
      </c>
      <c r="U129" s="33">
        <v>301.375</v>
      </c>
      <c r="V129" s="33">
        <v>301.875</v>
      </c>
      <c r="W129" s="33">
        <v>303.25</v>
      </c>
      <c r="X129" s="33">
        <v>302.875</v>
      </c>
      <c r="Y129" s="21">
        <f t="shared" si="2"/>
        <v>302.45625000000001</v>
      </c>
    </row>
    <row r="130" spans="1:25" x14ac:dyDescent="0.25">
      <c r="A130">
        <v>860</v>
      </c>
      <c r="B130">
        <v>1</v>
      </c>
      <c r="C130" t="s">
        <v>41</v>
      </c>
      <c r="D130" s="33">
        <v>302.5</v>
      </c>
      <c r="E130" s="33">
        <v>304.5</v>
      </c>
      <c r="F130" s="33">
        <v>302.75</v>
      </c>
      <c r="G130" s="33">
        <v>302.375</v>
      </c>
      <c r="H130" s="33">
        <v>304.5</v>
      </c>
      <c r="I130" s="33">
        <v>301.25</v>
      </c>
      <c r="J130" s="33">
        <v>302.625</v>
      </c>
      <c r="L130" s="33">
        <v>303.875</v>
      </c>
      <c r="M130" s="33">
        <v>304.5</v>
      </c>
      <c r="N130" s="33">
        <v>301.5</v>
      </c>
      <c r="O130" s="33">
        <v>302</v>
      </c>
      <c r="P130" s="33">
        <v>302.875</v>
      </c>
      <c r="Q130" s="33">
        <v>300.5</v>
      </c>
      <c r="R130" s="33">
        <v>300.625</v>
      </c>
      <c r="S130" s="33">
        <v>304</v>
      </c>
      <c r="T130" s="33">
        <v>303.25</v>
      </c>
      <c r="U130" s="33">
        <v>303</v>
      </c>
      <c r="V130" s="33">
        <v>304.125</v>
      </c>
      <c r="W130" s="33">
        <v>302</v>
      </c>
      <c r="X130" s="33">
        <v>301.875</v>
      </c>
      <c r="Y130" s="21">
        <f t="shared" si="2"/>
        <v>302.73124999999999</v>
      </c>
    </row>
    <row r="131" spans="1:25" x14ac:dyDescent="0.25">
      <c r="A131">
        <v>880</v>
      </c>
      <c r="B131">
        <v>1</v>
      </c>
      <c r="C131" t="s">
        <v>41</v>
      </c>
      <c r="D131" s="33">
        <v>302.75</v>
      </c>
      <c r="E131" s="33">
        <v>304.5</v>
      </c>
      <c r="F131" s="33">
        <v>302.75</v>
      </c>
      <c r="G131" s="33">
        <v>303.875</v>
      </c>
      <c r="H131" s="33">
        <v>303</v>
      </c>
      <c r="I131" s="33">
        <v>300.125</v>
      </c>
      <c r="J131" s="33">
        <v>302.875</v>
      </c>
      <c r="L131" s="33">
        <v>301.125</v>
      </c>
      <c r="M131" s="33">
        <v>302</v>
      </c>
      <c r="N131" s="33">
        <v>302.5</v>
      </c>
      <c r="O131" s="33">
        <v>303.375</v>
      </c>
      <c r="P131" s="33">
        <v>301.5</v>
      </c>
      <c r="Q131" s="33">
        <v>302.625</v>
      </c>
      <c r="R131" s="33">
        <v>301.5</v>
      </c>
      <c r="S131" s="33">
        <v>301.25</v>
      </c>
      <c r="T131" s="33">
        <v>304.125</v>
      </c>
      <c r="U131" s="33">
        <v>302.25</v>
      </c>
      <c r="V131" s="33">
        <v>302.875</v>
      </c>
      <c r="W131" s="33">
        <v>302.375</v>
      </c>
      <c r="X131" s="33">
        <v>301.625</v>
      </c>
      <c r="Y131" s="21">
        <f t="shared" si="2"/>
        <v>302.45</v>
      </c>
    </row>
    <row r="132" spans="1:25" x14ac:dyDescent="0.25">
      <c r="A132">
        <v>900</v>
      </c>
      <c r="B132">
        <v>1</v>
      </c>
      <c r="C132" t="s">
        <v>41</v>
      </c>
      <c r="D132" s="33">
        <v>303.5</v>
      </c>
      <c r="E132" s="33">
        <v>301.75</v>
      </c>
      <c r="F132" s="33">
        <v>302.25</v>
      </c>
      <c r="G132" s="33">
        <v>300.5</v>
      </c>
      <c r="H132" s="33">
        <v>301.75</v>
      </c>
      <c r="I132" s="33">
        <v>298.875</v>
      </c>
      <c r="J132" s="33">
        <v>302.5</v>
      </c>
      <c r="L132" s="33">
        <v>300.25</v>
      </c>
      <c r="M132" s="33">
        <v>300.875</v>
      </c>
      <c r="N132" s="33">
        <v>301.5</v>
      </c>
      <c r="O132" s="33">
        <v>299.25</v>
      </c>
      <c r="P132" s="33">
        <v>303.25</v>
      </c>
      <c r="Q132" s="33">
        <v>302.125</v>
      </c>
      <c r="R132" s="33">
        <v>299.875</v>
      </c>
      <c r="S132" s="33">
        <v>302.125</v>
      </c>
      <c r="T132" s="33">
        <v>303.375</v>
      </c>
      <c r="U132" s="33">
        <v>302.875</v>
      </c>
      <c r="V132" s="33">
        <v>303.5</v>
      </c>
      <c r="W132" s="33">
        <v>304.625</v>
      </c>
      <c r="X132" s="33">
        <v>302.25</v>
      </c>
      <c r="Y132" s="21">
        <f t="shared" si="2"/>
        <v>301.85000000000002</v>
      </c>
    </row>
    <row r="133" spans="1:25" x14ac:dyDescent="0.25">
      <c r="A133">
        <v>920</v>
      </c>
      <c r="B133">
        <v>1</v>
      </c>
      <c r="C133" t="s">
        <v>41</v>
      </c>
      <c r="D133" s="33">
        <v>302.625</v>
      </c>
      <c r="E133" s="33">
        <v>302</v>
      </c>
      <c r="F133" s="33">
        <v>300.375</v>
      </c>
      <c r="G133" s="33">
        <v>305.25</v>
      </c>
      <c r="H133" s="33">
        <v>303.375</v>
      </c>
      <c r="I133" s="33">
        <v>303.125</v>
      </c>
      <c r="J133" s="33">
        <v>302.125</v>
      </c>
      <c r="L133" s="33">
        <v>302.125</v>
      </c>
      <c r="M133" s="33">
        <v>301.875</v>
      </c>
      <c r="N133" s="33">
        <v>302.375</v>
      </c>
      <c r="O133" s="33">
        <v>303.25</v>
      </c>
      <c r="P133" s="33">
        <v>303.75</v>
      </c>
      <c r="Q133" s="33">
        <v>304.25</v>
      </c>
      <c r="R133" s="33">
        <v>303.25</v>
      </c>
      <c r="S133" s="33">
        <v>302.75</v>
      </c>
      <c r="T133" s="33">
        <v>304.75</v>
      </c>
      <c r="U133" s="33">
        <v>304.125</v>
      </c>
      <c r="V133" s="33">
        <v>302.875</v>
      </c>
      <c r="W133" s="33">
        <v>302.875</v>
      </c>
      <c r="X133" s="33">
        <v>302.125</v>
      </c>
      <c r="Y133" s="21">
        <f t="shared" si="2"/>
        <v>302.96249999999998</v>
      </c>
    </row>
    <row r="134" spans="1:25" x14ac:dyDescent="0.25">
      <c r="A134">
        <v>940</v>
      </c>
      <c r="B134">
        <v>1</v>
      </c>
      <c r="C134" t="s">
        <v>41</v>
      </c>
      <c r="D134" s="33">
        <v>303.125</v>
      </c>
      <c r="E134" s="33">
        <v>302.75</v>
      </c>
      <c r="F134" s="33">
        <v>302.625</v>
      </c>
      <c r="G134" s="33">
        <v>303.125</v>
      </c>
      <c r="H134" s="33">
        <v>304.625</v>
      </c>
      <c r="I134" s="33">
        <v>301.625</v>
      </c>
      <c r="J134" s="33">
        <v>301.375</v>
      </c>
      <c r="L134" s="33">
        <v>302</v>
      </c>
      <c r="M134" s="33">
        <v>301.625</v>
      </c>
      <c r="N134" s="33">
        <v>303</v>
      </c>
      <c r="O134" s="33">
        <v>302.5</v>
      </c>
      <c r="P134" s="33">
        <v>301.125</v>
      </c>
      <c r="Q134" s="33">
        <v>302.375</v>
      </c>
      <c r="R134" s="33">
        <v>301</v>
      </c>
      <c r="S134" s="33">
        <v>303.5</v>
      </c>
      <c r="T134" s="33">
        <v>303.75</v>
      </c>
      <c r="U134" s="33">
        <v>304.125</v>
      </c>
      <c r="V134" s="33">
        <v>302.25</v>
      </c>
      <c r="W134" s="33">
        <v>302.375</v>
      </c>
      <c r="X134" s="33">
        <v>301.5</v>
      </c>
      <c r="Y134" s="21">
        <f t="shared" si="2"/>
        <v>302.51875000000001</v>
      </c>
    </row>
    <row r="135" spans="1:25" x14ac:dyDescent="0.25">
      <c r="A135">
        <v>960</v>
      </c>
      <c r="B135">
        <v>1</v>
      </c>
      <c r="C135" t="s">
        <v>41</v>
      </c>
      <c r="D135" s="33">
        <v>301.625</v>
      </c>
      <c r="E135" s="33">
        <v>299.875</v>
      </c>
      <c r="F135" s="33">
        <v>302.875</v>
      </c>
      <c r="G135" s="33">
        <v>302</v>
      </c>
      <c r="H135" s="33">
        <v>302.75</v>
      </c>
      <c r="I135" s="33">
        <v>302.375</v>
      </c>
      <c r="J135" s="33">
        <v>302.75</v>
      </c>
      <c r="L135" s="33">
        <v>304.25</v>
      </c>
      <c r="M135" s="33">
        <v>303.5</v>
      </c>
      <c r="N135" s="33">
        <v>304</v>
      </c>
      <c r="O135" s="33">
        <v>305.25</v>
      </c>
      <c r="P135" s="33">
        <v>303.5</v>
      </c>
      <c r="Q135" s="33">
        <v>304.25</v>
      </c>
      <c r="R135" s="33">
        <v>300.875</v>
      </c>
      <c r="S135" s="33">
        <v>299.125</v>
      </c>
      <c r="T135" s="33">
        <v>301.75</v>
      </c>
      <c r="U135" s="33">
        <v>304.25</v>
      </c>
      <c r="V135" s="33">
        <v>301.375</v>
      </c>
      <c r="W135" s="33">
        <v>303.25</v>
      </c>
      <c r="X135" s="33">
        <v>301.875</v>
      </c>
      <c r="Y135" s="21">
        <f t="shared" si="2"/>
        <v>302.57499999999999</v>
      </c>
    </row>
    <row r="136" spans="1:25" x14ac:dyDescent="0.25">
      <c r="A136">
        <v>980</v>
      </c>
      <c r="B136">
        <v>1</v>
      </c>
      <c r="C136" t="s">
        <v>41</v>
      </c>
      <c r="D136" s="33">
        <v>300.875</v>
      </c>
      <c r="E136" s="33">
        <v>301.75</v>
      </c>
      <c r="F136" s="33">
        <v>303</v>
      </c>
      <c r="G136" s="33">
        <v>304.125</v>
      </c>
      <c r="H136" s="33">
        <v>302</v>
      </c>
      <c r="I136" s="33">
        <v>302.625</v>
      </c>
      <c r="J136" s="33">
        <v>303</v>
      </c>
      <c r="L136" s="33">
        <v>303.625</v>
      </c>
      <c r="M136" s="33">
        <v>303.5</v>
      </c>
      <c r="N136" s="33">
        <v>305.25</v>
      </c>
      <c r="O136" s="33">
        <v>302.125</v>
      </c>
      <c r="P136" s="33">
        <v>301.25</v>
      </c>
      <c r="Q136" s="33">
        <v>303.125</v>
      </c>
      <c r="R136" s="33">
        <v>303.125</v>
      </c>
      <c r="S136" s="33">
        <v>306.125</v>
      </c>
      <c r="T136" s="33">
        <v>302</v>
      </c>
      <c r="U136" s="33">
        <v>302.625</v>
      </c>
      <c r="V136" s="33">
        <v>302.625</v>
      </c>
      <c r="W136" s="33">
        <v>302.875</v>
      </c>
      <c r="X136" s="33">
        <v>301.75</v>
      </c>
      <c r="Y136" s="21">
        <f t="shared" si="2"/>
        <v>302.86874999999998</v>
      </c>
    </row>
    <row r="137" spans="1:25" x14ac:dyDescent="0.25">
      <c r="A137">
        <v>1000</v>
      </c>
      <c r="B137">
        <v>1</v>
      </c>
      <c r="C137" t="s">
        <v>41</v>
      </c>
      <c r="D137" s="33">
        <v>302.125</v>
      </c>
      <c r="E137" s="33">
        <v>301.125</v>
      </c>
      <c r="F137" s="33">
        <v>302</v>
      </c>
      <c r="G137" s="33">
        <v>303.75</v>
      </c>
      <c r="H137" s="33">
        <v>302.125</v>
      </c>
      <c r="I137" s="33">
        <v>303.5</v>
      </c>
      <c r="J137" s="33">
        <v>300.5</v>
      </c>
      <c r="L137" s="33">
        <v>301.625</v>
      </c>
      <c r="M137" s="33">
        <v>302</v>
      </c>
      <c r="N137" s="33">
        <v>302.5</v>
      </c>
      <c r="O137" s="33">
        <v>302.5</v>
      </c>
      <c r="P137" s="33">
        <v>302.625</v>
      </c>
      <c r="Q137" s="33">
        <v>302.875</v>
      </c>
      <c r="R137" s="33">
        <v>304.375</v>
      </c>
      <c r="S137" s="33">
        <v>302.5</v>
      </c>
      <c r="T137" s="33">
        <v>304.125</v>
      </c>
      <c r="U137" s="33">
        <v>302.875</v>
      </c>
      <c r="V137" s="33">
        <v>302.625</v>
      </c>
      <c r="W137" s="33">
        <v>302.375</v>
      </c>
      <c r="X137" s="33">
        <v>303.875</v>
      </c>
      <c r="Y137" s="21">
        <f t="shared" si="2"/>
        <v>302.60000000000002</v>
      </c>
    </row>
    <row r="138" spans="1:25" x14ac:dyDescent="0.25">
      <c r="A138">
        <v>1020</v>
      </c>
      <c r="B138">
        <v>1</v>
      </c>
      <c r="C138" t="s">
        <v>41</v>
      </c>
      <c r="D138" s="33">
        <v>302</v>
      </c>
      <c r="E138" s="33">
        <v>301.875</v>
      </c>
      <c r="F138" s="33">
        <v>302.375</v>
      </c>
      <c r="G138" s="33">
        <v>302.125</v>
      </c>
      <c r="H138" s="33">
        <v>302.125</v>
      </c>
      <c r="I138" s="33">
        <v>300.625</v>
      </c>
      <c r="J138" s="33">
        <v>304.25</v>
      </c>
      <c r="L138" s="33">
        <v>301.75</v>
      </c>
      <c r="M138" s="33">
        <v>303.375</v>
      </c>
      <c r="N138" s="33">
        <v>302.375</v>
      </c>
      <c r="O138" s="33">
        <v>300.875</v>
      </c>
      <c r="P138" s="33">
        <v>300.75</v>
      </c>
      <c r="Q138" s="33">
        <v>303.25</v>
      </c>
      <c r="R138" s="33">
        <v>305.375</v>
      </c>
      <c r="S138" s="33">
        <v>303.625</v>
      </c>
      <c r="T138" s="33">
        <v>302.875</v>
      </c>
      <c r="U138" s="33">
        <v>302.625</v>
      </c>
      <c r="V138" s="33">
        <v>301.875</v>
      </c>
      <c r="W138" s="33">
        <v>300.5</v>
      </c>
      <c r="X138" s="33">
        <v>303.625</v>
      </c>
      <c r="Y138" s="21">
        <f t="shared" si="2"/>
        <v>302.41250000000002</v>
      </c>
    </row>
    <row r="139" spans="1:25" x14ac:dyDescent="0.25">
      <c r="A139">
        <v>1040</v>
      </c>
      <c r="B139">
        <v>1</v>
      </c>
      <c r="C139" t="s">
        <v>41</v>
      </c>
      <c r="D139" s="33">
        <v>304.25</v>
      </c>
      <c r="E139" s="33">
        <v>303.625</v>
      </c>
      <c r="F139" s="33">
        <v>299.75</v>
      </c>
      <c r="G139" s="33">
        <v>302.25</v>
      </c>
      <c r="H139" s="33">
        <v>303</v>
      </c>
      <c r="I139" s="33">
        <v>303</v>
      </c>
      <c r="J139" s="33">
        <v>300.875</v>
      </c>
      <c r="L139" s="33">
        <v>301.5</v>
      </c>
      <c r="M139" s="33">
        <v>301.125</v>
      </c>
      <c r="N139" s="33">
        <v>303.125</v>
      </c>
      <c r="O139" s="33">
        <v>304.875</v>
      </c>
      <c r="P139" s="33">
        <v>302.375</v>
      </c>
      <c r="Q139" s="33">
        <v>302.875</v>
      </c>
      <c r="R139" s="33">
        <v>303.5</v>
      </c>
      <c r="S139" s="33">
        <v>304.25</v>
      </c>
      <c r="T139" s="33">
        <v>304.125</v>
      </c>
      <c r="U139" s="33">
        <v>302.125</v>
      </c>
      <c r="V139" s="33">
        <v>302.375</v>
      </c>
      <c r="W139" s="33">
        <v>302.875</v>
      </c>
      <c r="X139" s="33">
        <v>306.375</v>
      </c>
      <c r="Y139" s="21">
        <f t="shared" si="2"/>
        <v>302.91250000000002</v>
      </c>
    </row>
    <row r="140" spans="1:25" x14ac:dyDescent="0.25">
      <c r="A140">
        <v>1060</v>
      </c>
      <c r="B140">
        <v>1</v>
      </c>
      <c r="C140" t="s">
        <v>41</v>
      </c>
      <c r="D140" s="33">
        <v>304.25</v>
      </c>
      <c r="E140" s="33">
        <v>302.625</v>
      </c>
      <c r="F140" s="33">
        <v>300.75</v>
      </c>
      <c r="G140" s="33">
        <v>303</v>
      </c>
      <c r="H140" s="33">
        <v>303.25</v>
      </c>
      <c r="I140" s="33">
        <v>304.75</v>
      </c>
      <c r="J140" s="33">
        <v>302.5</v>
      </c>
      <c r="L140" s="33">
        <v>302.5</v>
      </c>
      <c r="M140" s="33">
        <v>301.75</v>
      </c>
      <c r="N140" s="33">
        <v>301.375</v>
      </c>
      <c r="O140" s="33">
        <v>303.625</v>
      </c>
      <c r="P140" s="33">
        <v>302.625</v>
      </c>
      <c r="Q140" s="33">
        <v>302.375</v>
      </c>
      <c r="R140" s="33">
        <v>303</v>
      </c>
      <c r="S140" s="33">
        <v>302.625</v>
      </c>
      <c r="T140" s="33">
        <v>305.125</v>
      </c>
      <c r="U140" s="33">
        <v>301.5</v>
      </c>
      <c r="V140" s="33">
        <v>303</v>
      </c>
      <c r="W140" s="33">
        <v>302.5</v>
      </c>
      <c r="X140" s="33">
        <v>301.5</v>
      </c>
      <c r="Y140" s="21">
        <f t="shared" si="2"/>
        <v>302.73124999999999</v>
      </c>
    </row>
    <row r="141" spans="1:25" x14ac:dyDescent="0.25">
      <c r="A141">
        <v>1080</v>
      </c>
      <c r="B141">
        <v>1</v>
      </c>
      <c r="C141" t="s">
        <v>41</v>
      </c>
      <c r="D141" s="33">
        <v>301.75</v>
      </c>
      <c r="E141" s="33">
        <v>302.75</v>
      </c>
      <c r="F141" s="33">
        <v>302.75</v>
      </c>
      <c r="G141" s="33">
        <v>302.875</v>
      </c>
      <c r="H141" s="33">
        <v>302.125</v>
      </c>
      <c r="I141" s="33">
        <v>302.75</v>
      </c>
      <c r="J141" s="33">
        <v>301.75</v>
      </c>
      <c r="L141" s="33">
        <v>304.625</v>
      </c>
      <c r="M141" s="33">
        <v>303</v>
      </c>
      <c r="N141" s="33">
        <v>301.125</v>
      </c>
      <c r="O141" s="33">
        <v>300.375</v>
      </c>
      <c r="P141" s="33">
        <v>303.125</v>
      </c>
      <c r="Q141" s="33">
        <v>302.875</v>
      </c>
      <c r="R141" s="33">
        <v>301.75</v>
      </c>
      <c r="S141" s="33">
        <v>303.25</v>
      </c>
      <c r="T141" s="33">
        <v>302.5</v>
      </c>
      <c r="U141" s="33">
        <v>304.125</v>
      </c>
      <c r="V141" s="33">
        <v>300.375</v>
      </c>
      <c r="W141" s="33">
        <v>302.25</v>
      </c>
      <c r="X141" s="33">
        <v>303.125</v>
      </c>
      <c r="Y141" s="21">
        <f t="shared" si="2"/>
        <v>302.46249999999998</v>
      </c>
    </row>
    <row r="142" spans="1:25" x14ac:dyDescent="0.25">
      <c r="A142">
        <v>1100</v>
      </c>
      <c r="B142">
        <v>1</v>
      </c>
      <c r="C142" t="s">
        <v>41</v>
      </c>
      <c r="D142" s="33">
        <v>303.75</v>
      </c>
      <c r="E142" s="33">
        <v>302.625</v>
      </c>
      <c r="F142" s="33">
        <v>302.125</v>
      </c>
      <c r="G142" s="33">
        <v>303.25</v>
      </c>
      <c r="H142" s="33">
        <v>302.375</v>
      </c>
      <c r="I142" s="33">
        <v>303.625</v>
      </c>
      <c r="J142" s="33">
        <v>304.625</v>
      </c>
      <c r="L142" s="33">
        <v>303.25</v>
      </c>
      <c r="M142" s="33">
        <v>305</v>
      </c>
      <c r="N142" s="33">
        <v>302.125</v>
      </c>
      <c r="O142" s="33">
        <v>301.75</v>
      </c>
      <c r="P142" s="33">
        <v>302.875</v>
      </c>
      <c r="Q142" s="33">
        <v>303.75</v>
      </c>
      <c r="R142" s="33">
        <v>306.125</v>
      </c>
      <c r="S142" s="33">
        <v>303.75</v>
      </c>
      <c r="T142" s="33">
        <v>303.75</v>
      </c>
      <c r="U142" s="33">
        <v>302</v>
      </c>
      <c r="V142" s="33">
        <v>301.625</v>
      </c>
      <c r="W142" s="33">
        <v>302.375</v>
      </c>
      <c r="X142" s="33">
        <v>302.5</v>
      </c>
      <c r="Y142" s="21">
        <f t="shared" si="2"/>
        <v>303.16250000000002</v>
      </c>
    </row>
    <row r="143" spans="1:25" x14ac:dyDescent="0.25">
      <c r="A143">
        <v>1120</v>
      </c>
      <c r="B143">
        <v>1</v>
      </c>
      <c r="C143" t="s">
        <v>41</v>
      </c>
      <c r="D143" s="33">
        <v>301.5</v>
      </c>
      <c r="E143" s="33">
        <v>300.5</v>
      </c>
      <c r="F143" s="33">
        <v>301.875</v>
      </c>
      <c r="G143" s="33">
        <v>301</v>
      </c>
      <c r="H143" s="33">
        <v>300.25</v>
      </c>
      <c r="I143" s="33">
        <v>301.75</v>
      </c>
      <c r="J143" s="33">
        <v>303.875</v>
      </c>
      <c r="L143" s="33">
        <v>303.375</v>
      </c>
      <c r="M143" s="33">
        <v>303.875</v>
      </c>
      <c r="N143" s="33">
        <v>302.25</v>
      </c>
      <c r="O143" s="33">
        <v>303.25</v>
      </c>
      <c r="P143" s="33">
        <v>301.875</v>
      </c>
      <c r="Q143" s="33">
        <v>305</v>
      </c>
      <c r="R143" s="33">
        <v>302.375</v>
      </c>
      <c r="S143" s="33">
        <v>300.625</v>
      </c>
      <c r="T143" s="33">
        <v>302.25</v>
      </c>
      <c r="U143" s="33">
        <v>303.25</v>
      </c>
      <c r="V143" s="33">
        <v>303.75</v>
      </c>
      <c r="W143" s="33">
        <v>302.75</v>
      </c>
      <c r="X143" s="33">
        <v>303.75</v>
      </c>
      <c r="Y143" s="21">
        <f t="shared" si="2"/>
        <v>302.45625000000001</v>
      </c>
    </row>
    <row r="144" spans="1:25" x14ac:dyDescent="0.25">
      <c r="A144">
        <v>1140</v>
      </c>
      <c r="B144">
        <v>1</v>
      </c>
      <c r="C144" t="s">
        <v>41</v>
      </c>
      <c r="D144" s="33">
        <v>301.75</v>
      </c>
      <c r="E144" s="33">
        <v>300.5</v>
      </c>
      <c r="F144" s="33">
        <v>303</v>
      </c>
      <c r="G144" s="33">
        <v>302.5</v>
      </c>
      <c r="H144" s="33">
        <v>300.5</v>
      </c>
      <c r="I144" s="33">
        <v>301.25</v>
      </c>
      <c r="J144" s="33">
        <v>301.625</v>
      </c>
      <c r="L144" s="33">
        <v>305</v>
      </c>
      <c r="M144" s="33">
        <v>301.125</v>
      </c>
      <c r="N144" s="33">
        <v>304.125</v>
      </c>
      <c r="O144" s="33">
        <v>302.125</v>
      </c>
      <c r="P144" s="33">
        <v>303.25</v>
      </c>
      <c r="Q144" s="33">
        <v>302.375</v>
      </c>
      <c r="R144" s="33">
        <v>301.625</v>
      </c>
      <c r="S144" s="33">
        <v>300.75</v>
      </c>
      <c r="T144" s="33">
        <v>302.625</v>
      </c>
      <c r="U144" s="33">
        <v>302.875</v>
      </c>
      <c r="V144" s="33">
        <v>303.75</v>
      </c>
      <c r="W144" s="33">
        <v>303</v>
      </c>
      <c r="X144" s="33">
        <v>300.625</v>
      </c>
      <c r="Y144" s="21">
        <f t="shared" si="2"/>
        <v>302.21875</v>
      </c>
    </row>
    <row r="145" spans="1:25" x14ac:dyDescent="0.25">
      <c r="A145">
        <v>1160</v>
      </c>
      <c r="B145">
        <v>1</v>
      </c>
      <c r="C145" t="s">
        <v>41</v>
      </c>
      <c r="D145" s="33">
        <v>302.125</v>
      </c>
      <c r="E145" s="33">
        <v>303.125</v>
      </c>
      <c r="F145" s="33">
        <v>302</v>
      </c>
      <c r="G145" s="33">
        <v>303.75</v>
      </c>
      <c r="H145" s="33">
        <v>302.125</v>
      </c>
      <c r="I145" s="33">
        <v>303.5</v>
      </c>
      <c r="J145" s="33">
        <v>303.875</v>
      </c>
      <c r="L145" s="33">
        <v>303.625</v>
      </c>
      <c r="M145" s="33">
        <v>301</v>
      </c>
      <c r="N145" s="33">
        <v>303.125</v>
      </c>
      <c r="O145" s="33">
        <v>302.125</v>
      </c>
      <c r="P145" s="33">
        <v>301.375</v>
      </c>
      <c r="Q145" s="33">
        <v>300.625</v>
      </c>
      <c r="R145" s="33">
        <v>300.5</v>
      </c>
      <c r="S145" s="33">
        <v>301.875</v>
      </c>
      <c r="T145" s="33">
        <v>301.125</v>
      </c>
      <c r="U145" s="33">
        <v>303.75</v>
      </c>
      <c r="V145" s="33">
        <v>302.25</v>
      </c>
      <c r="W145" s="33">
        <v>301.625</v>
      </c>
      <c r="X145" s="33">
        <v>303</v>
      </c>
      <c r="Y145" s="21">
        <f t="shared" si="2"/>
        <v>302.32499999999999</v>
      </c>
    </row>
    <row r="146" spans="1:25" x14ac:dyDescent="0.25">
      <c r="A146">
        <v>1180</v>
      </c>
      <c r="B146">
        <v>1</v>
      </c>
      <c r="C146" t="s">
        <v>41</v>
      </c>
      <c r="D146" s="33">
        <v>303.25</v>
      </c>
      <c r="E146" s="33">
        <v>299.75</v>
      </c>
      <c r="F146" s="33">
        <v>303.375</v>
      </c>
      <c r="G146" s="33">
        <v>302.875</v>
      </c>
      <c r="H146" s="33">
        <v>303.875</v>
      </c>
      <c r="I146" s="33">
        <v>302.75</v>
      </c>
      <c r="J146" s="33">
        <v>302.875</v>
      </c>
      <c r="L146" s="33">
        <v>303.625</v>
      </c>
      <c r="M146" s="33">
        <v>301.875</v>
      </c>
      <c r="N146" s="33">
        <v>303</v>
      </c>
      <c r="O146" s="33">
        <v>301</v>
      </c>
      <c r="P146" s="33">
        <v>303.875</v>
      </c>
      <c r="Q146" s="33">
        <v>301.625</v>
      </c>
      <c r="R146" s="33">
        <v>302.125</v>
      </c>
      <c r="S146" s="33">
        <v>299.125</v>
      </c>
      <c r="T146" s="33">
        <v>299.5</v>
      </c>
      <c r="U146" s="33">
        <v>301.875</v>
      </c>
      <c r="V146" s="33">
        <v>303</v>
      </c>
      <c r="W146" s="33">
        <v>302.125</v>
      </c>
      <c r="X146" s="33">
        <v>303.5</v>
      </c>
      <c r="Y146" s="21">
        <f t="shared" si="2"/>
        <v>302.25</v>
      </c>
    </row>
    <row r="147" spans="1:25" x14ac:dyDescent="0.25">
      <c r="A147">
        <v>1200</v>
      </c>
      <c r="B147">
        <v>1</v>
      </c>
      <c r="C147" t="s">
        <v>41</v>
      </c>
      <c r="D147" s="33">
        <v>300.875</v>
      </c>
      <c r="E147" s="33">
        <v>302.25</v>
      </c>
      <c r="F147" s="33">
        <v>303.875</v>
      </c>
      <c r="G147" s="33">
        <v>302.5</v>
      </c>
      <c r="H147" s="33">
        <v>301.5</v>
      </c>
      <c r="I147" s="33">
        <v>300.75</v>
      </c>
      <c r="J147" s="33">
        <v>301</v>
      </c>
      <c r="L147" s="33">
        <v>299.5</v>
      </c>
      <c r="M147" s="33">
        <v>303.875</v>
      </c>
      <c r="N147" s="33">
        <v>304.5</v>
      </c>
      <c r="O147" s="33">
        <v>301</v>
      </c>
      <c r="P147" s="33">
        <v>302</v>
      </c>
      <c r="Q147" s="33">
        <v>303.75</v>
      </c>
      <c r="R147" s="33">
        <v>301.5</v>
      </c>
      <c r="S147" s="33">
        <v>303.375</v>
      </c>
      <c r="T147" s="33">
        <v>301.875</v>
      </c>
      <c r="U147" s="33">
        <v>304.125</v>
      </c>
      <c r="V147" s="33">
        <v>303</v>
      </c>
      <c r="W147" s="33">
        <v>301.875</v>
      </c>
      <c r="X147" s="33">
        <v>302.375</v>
      </c>
      <c r="Y147" s="21">
        <f t="shared" si="2"/>
        <v>302.27499999999998</v>
      </c>
    </row>
    <row r="148" spans="1:25" x14ac:dyDescent="0.25">
      <c r="A148">
        <v>1220</v>
      </c>
      <c r="B148">
        <v>1</v>
      </c>
      <c r="C148" t="s">
        <v>41</v>
      </c>
      <c r="D148" s="33">
        <v>302.25</v>
      </c>
      <c r="E148" s="33">
        <v>302.625</v>
      </c>
      <c r="F148" s="33">
        <v>302.875</v>
      </c>
      <c r="G148" s="33">
        <v>299.375</v>
      </c>
      <c r="H148" s="33">
        <v>302.375</v>
      </c>
      <c r="I148" s="33">
        <v>303.375</v>
      </c>
      <c r="J148" s="33">
        <v>302.625</v>
      </c>
      <c r="L148" s="33">
        <v>300.5</v>
      </c>
      <c r="M148" s="33">
        <v>301.125</v>
      </c>
      <c r="N148" s="33">
        <v>305</v>
      </c>
      <c r="O148" s="33">
        <v>302.75</v>
      </c>
      <c r="P148" s="33">
        <v>300.375</v>
      </c>
      <c r="Q148" s="33">
        <v>301.375</v>
      </c>
      <c r="R148" s="33">
        <v>302.75</v>
      </c>
      <c r="S148" s="33">
        <v>300.25</v>
      </c>
      <c r="T148" s="33">
        <v>302.625</v>
      </c>
      <c r="U148" s="33">
        <v>301.5</v>
      </c>
      <c r="V148" s="33">
        <v>304.375</v>
      </c>
      <c r="W148" s="33">
        <v>303.875</v>
      </c>
      <c r="X148" s="33">
        <v>303.375</v>
      </c>
      <c r="Y148" s="21">
        <f t="shared" si="2"/>
        <v>302.26875000000001</v>
      </c>
    </row>
    <row r="149" spans="1:25" x14ac:dyDescent="0.25">
      <c r="A149">
        <v>1240</v>
      </c>
      <c r="B149">
        <v>1</v>
      </c>
      <c r="C149" t="s">
        <v>41</v>
      </c>
      <c r="D149" s="33">
        <v>304.5</v>
      </c>
      <c r="E149" s="33">
        <v>301.5</v>
      </c>
      <c r="F149" s="33">
        <v>303.75</v>
      </c>
      <c r="G149" s="33">
        <v>301.125</v>
      </c>
      <c r="H149" s="33">
        <v>304</v>
      </c>
      <c r="I149" s="33">
        <v>304.625</v>
      </c>
      <c r="J149" s="33">
        <v>301.375</v>
      </c>
      <c r="L149" s="33">
        <v>299.25</v>
      </c>
      <c r="M149" s="33">
        <v>303.125</v>
      </c>
      <c r="N149" s="33">
        <v>302</v>
      </c>
      <c r="O149" s="33">
        <v>302.375</v>
      </c>
      <c r="P149" s="33">
        <v>302</v>
      </c>
      <c r="Q149" s="33">
        <v>302.75</v>
      </c>
      <c r="R149" s="33">
        <v>303.5</v>
      </c>
      <c r="S149" s="33">
        <v>302.25</v>
      </c>
      <c r="T149" s="33">
        <v>300.875</v>
      </c>
      <c r="U149" s="33">
        <v>299.375</v>
      </c>
      <c r="V149" s="33">
        <v>301</v>
      </c>
      <c r="W149" s="33">
        <v>302</v>
      </c>
      <c r="X149" s="33">
        <v>300.625</v>
      </c>
      <c r="Y149" s="21">
        <f t="shared" si="2"/>
        <v>302.10000000000002</v>
      </c>
    </row>
    <row r="150" spans="1:25" x14ac:dyDescent="0.25">
      <c r="A150">
        <v>1260</v>
      </c>
      <c r="B150">
        <v>1</v>
      </c>
      <c r="C150" t="s">
        <v>41</v>
      </c>
      <c r="D150" s="33">
        <v>301.5</v>
      </c>
      <c r="E150" s="33">
        <v>300.625</v>
      </c>
      <c r="F150" s="33">
        <v>300</v>
      </c>
      <c r="G150" s="33">
        <v>301</v>
      </c>
      <c r="H150" s="33">
        <v>302.5</v>
      </c>
      <c r="I150" s="33">
        <v>303</v>
      </c>
      <c r="J150" s="33">
        <v>302.375</v>
      </c>
      <c r="L150" s="33">
        <v>302.375</v>
      </c>
      <c r="M150" s="33">
        <v>300.625</v>
      </c>
      <c r="N150" s="33">
        <v>301.625</v>
      </c>
      <c r="O150" s="33">
        <v>302.125</v>
      </c>
      <c r="P150" s="33">
        <v>301.25</v>
      </c>
      <c r="Q150" s="33">
        <v>301.875</v>
      </c>
      <c r="R150" s="33">
        <v>302</v>
      </c>
      <c r="S150" s="33">
        <v>302.375</v>
      </c>
      <c r="T150" s="33">
        <v>301</v>
      </c>
      <c r="U150" s="33">
        <v>300.5</v>
      </c>
      <c r="V150" s="33">
        <v>301.375</v>
      </c>
      <c r="W150" s="33">
        <v>301.125</v>
      </c>
      <c r="X150" s="33">
        <v>301.875</v>
      </c>
      <c r="Y150" s="21">
        <f t="shared" si="2"/>
        <v>301.55624999999998</v>
      </c>
    </row>
    <row r="151" spans="1:25" x14ac:dyDescent="0.25">
      <c r="A151">
        <v>1280</v>
      </c>
      <c r="B151">
        <v>1</v>
      </c>
      <c r="C151" t="s">
        <v>41</v>
      </c>
      <c r="D151" s="33">
        <v>299.75</v>
      </c>
      <c r="E151" s="33">
        <v>304.125</v>
      </c>
      <c r="F151" s="33">
        <v>301.125</v>
      </c>
      <c r="G151" s="33">
        <v>301.75</v>
      </c>
      <c r="H151" s="33">
        <v>303</v>
      </c>
      <c r="I151" s="33">
        <v>302.75</v>
      </c>
      <c r="J151" s="33">
        <v>301.125</v>
      </c>
      <c r="L151" s="33">
        <v>302.25</v>
      </c>
      <c r="M151" s="33">
        <v>303.125</v>
      </c>
      <c r="N151" s="33">
        <v>303.375</v>
      </c>
      <c r="O151" s="33">
        <v>302.375</v>
      </c>
      <c r="P151" s="33">
        <v>300.375</v>
      </c>
      <c r="Q151" s="33">
        <v>299.75</v>
      </c>
      <c r="R151" s="33">
        <v>302.125</v>
      </c>
      <c r="S151" s="33">
        <v>299.875</v>
      </c>
      <c r="T151" s="33">
        <v>303</v>
      </c>
      <c r="U151" s="33">
        <v>301.625</v>
      </c>
      <c r="V151" s="33">
        <v>303.125</v>
      </c>
      <c r="W151" s="33">
        <v>300.375</v>
      </c>
      <c r="X151" s="33">
        <v>301</v>
      </c>
      <c r="Y151" s="21">
        <f t="shared" si="2"/>
        <v>301.8</v>
      </c>
    </row>
    <row r="152" spans="1:25" x14ac:dyDescent="0.25">
      <c r="A152">
        <v>1300</v>
      </c>
      <c r="B152">
        <v>1</v>
      </c>
      <c r="C152" t="s">
        <v>41</v>
      </c>
      <c r="D152" s="33">
        <v>298.25</v>
      </c>
      <c r="E152" s="33">
        <v>302.125</v>
      </c>
      <c r="F152" s="33">
        <v>302</v>
      </c>
      <c r="G152" s="33">
        <v>301.75</v>
      </c>
      <c r="H152" s="33">
        <v>303.25</v>
      </c>
      <c r="I152" s="33">
        <v>300.375</v>
      </c>
      <c r="J152" s="33">
        <v>302</v>
      </c>
      <c r="L152" s="33">
        <v>303.25</v>
      </c>
      <c r="M152" s="33">
        <v>303.125</v>
      </c>
      <c r="N152" s="33">
        <v>302.875</v>
      </c>
      <c r="O152" s="33">
        <v>301.125</v>
      </c>
      <c r="P152" s="33">
        <v>301.375</v>
      </c>
      <c r="Q152" s="33">
        <v>300.875</v>
      </c>
      <c r="R152" s="33">
        <v>301.375</v>
      </c>
      <c r="S152" s="33">
        <v>302.25</v>
      </c>
      <c r="T152" s="33">
        <v>302.125</v>
      </c>
      <c r="U152" s="33">
        <v>301.875</v>
      </c>
      <c r="V152" s="33">
        <v>300.375</v>
      </c>
      <c r="W152" s="33">
        <v>301.75</v>
      </c>
      <c r="X152" s="33">
        <v>302.125</v>
      </c>
      <c r="Y152" s="21">
        <f t="shared" si="2"/>
        <v>301.71249999999998</v>
      </c>
    </row>
    <row r="153" spans="1:25" x14ac:dyDescent="0.25">
      <c r="A153">
        <v>1320</v>
      </c>
      <c r="B153">
        <v>1</v>
      </c>
      <c r="C153" t="s">
        <v>41</v>
      </c>
      <c r="D153" s="33">
        <v>300.5</v>
      </c>
      <c r="E153" s="33">
        <v>301</v>
      </c>
      <c r="F153" s="33">
        <v>300.25</v>
      </c>
      <c r="G153" s="33">
        <v>300.875</v>
      </c>
      <c r="H153" s="33">
        <v>302.625</v>
      </c>
      <c r="I153" s="33">
        <v>302</v>
      </c>
      <c r="J153" s="33">
        <v>302.375</v>
      </c>
      <c r="L153" s="33">
        <v>303.5</v>
      </c>
      <c r="M153" s="33">
        <v>301.625</v>
      </c>
      <c r="N153" s="33">
        <v>302.125</v>
      </c>
      <c r="O153" s="33">
        <v>302</v>
      </c>
      <c r="P153" s="33">
        <v>302.125</v>
      </c>
      <c r="Q153" s="33">
        <v>301.625</v>
      </c>
      <c r="R153" s="33">
        <v>301.125</v>
      </c>
      <c r="S153" s="33">
        <v>302.625</v>
      </c>
      <c r="T153" s="33">
        <v>301.625</v>
      </c>
      <c r="U153" s="33">
        <v>301.625</v>
      </c>
      <c r="V153" s="33">
        <v>301.25</v>
      </c>
      <c r="W153" s="33">
        <v>300.625</v>
      </c>
      <c r="X153" s="33">
        <v>300.5</v>
      </c>
      <c r="Y153" s="21">
        <f t="shared" si="2"/>
        <v>301.60000000000002</v>
      </c>
    </row>
    <row r="154" spans="1:25" x14ac:dyDescent="0.25">
      <c r="A154">
        <v>1340</v>
      </c>
      <c r="B154">
        <v>1</v>
      </c>
      <c r="C154" t="s">
        <v>41</v>
      </c>
      <c r="D154" s="33">
        <v>298.75</v>
      </c>
      <c r="E154" s="33">
        <v>300.5</v>
      </c>
      <c r="F154" s="33">
        <v>302</v>
      </c>
      <c r="G154" s="33">
        <v>301.25</v>
      </c>
      <c r="H154" s="33">
        <v>300.25</v>
      </c>
      <c r="I154" s="33">
        <v>299.625</v>
      </c>
      <c r="J154" s="33">
        <v>301</v>
      </c>
      <c r="L154" s="33">
        <v>300.375</v>
      </c>
      <c r="M154" s="33">
        <v>302.75</v>
      </c>
      <c r="N154" s="33">
        <v>304</v>
      </c>
      <c r="O154" s="33">
        <v>303.375</v>
      </c>
      <c r="P154" s="33">
        <v>301.875</v>
      </c>
      <c r="Q154" s="33">
        <v>301.875</v>
      </c>
      <c r="R154" s="33">
        <v>304.625</v>
      </c>
      <c r="S154" s="33">
        <v>301.75</v>
      </c>
      <c r="T154" s="33">
        <v>303</v>
      </c>
      <c r="U154" s="33">
        <v>302.5</v>
      </c>
      <c r="V154" s="33">
        <v>300.75</v>
      </c>
      <c r="W154" s="33">
        <v>302</v>
      </c>
      <c r="X154" s="33">
        <v>301</v>
      </c>
      <c r="Y154" s="21">
        <f t="shared" si="2"/>
        <v>301.66250000000002</v>
      </c>
    </row>
    <row r="155" spans="1:25" x14ac:dyDescent="0.25">
      <c r="A155">
        <v>1360</v>
      </c>
      <c r="B155">
        <v>1</v>
      </c>
      <c r="C155" t="s">
        <v>41</v>
      </c>
      <c r="D155" s="33">
        <v>301.75</v>
      </c>
      <c r="E155" s="33">
        <v>300.125</v>
      </c>
      <c r="F155" s="33">
        <v>302.5</v>
      </c>
      <c r="G155" s="33">
        <v>300.75</v>
      </c>
      <c r="H155" s="33">
        <v>301.5</v>
      </c>
      <c r="I155" s="33">
        <v>302.5</v>
      </c>
      <c r="J155" s="33">
        <v>301.875</v>
      </c>
      <c r="L155" s="33">
        <v>300.25</v>
      </c>
      <c r="M155" s="33">
        <v>300.5</v>
      </c>
      <c r="N155" s="33">
        <v>300.875</v>
      </c>
      <c r="O155" s="33">
        <v>301.25</v>
      </c>
      <c r="P155" s="33">
        <v>301.25</v>
      </c>
      <c r="Q155" s="33">
        <v>300.125</v>
      </c>
      <c r="R155" s="33">
        <v>300.5</v>
      </c>
      <c r="S155" s="33">
        <v>302.25</v>
      </c>
      <c r="T155" s="33">
        <v>301.75</v>
      </c>
      <c r="U155" s="33">
        <v>303.25</v>
      </c>
      <c r="V155" s="33">
        <v>303.375</v>
      </c>
      <c r="W155" s="33">
        <v>303.25</v>
      </c>
      <c r="X155" s="33">
        <v>299.75</v>
      </c>
      <c r="Y155" s="21">
        <f t="shared" si="2"/>
        <v>301.46875</v>
      </c>
    </row>
    <row r="156" spans="1:25" x14ac:dyDescent="0.25">
      <c r="A156">
        <v>1380</v>
      </c>
      <c r="B156">
        <v>1</v>
      </c>
      <c r="C156" t="s">
        <v>41</v>
      </c>
      <c r="D156" s="33">
        <v>301.875</v>
      </c>
      <c r="E156" s="33">
        <v>300.875</v>
      </c>
      <c r="F156" s="33">
        <v>302.375</v>
      </c>
      <c r="G156" s="33">
        <v>301.625</v>
      </c>
      <c r="H156" s="33">
        <v>299.375</v>
      </c>
      <c r="I156" s="33">
        <v>300.5</v>
      </c>
      <c r="J156" s="33">
        <v>302.25</v>
      </c>
      <c r="L156" s="33">
        <v>301.75</v>
      </c>
      <c r="M156" s="33">
        <v>300.875</v>
      </c>
      <c r="N156" s="33">
        <v>300.125</v>
      </c>
      <c r="O156" s="33">
        <v>299.5</v>
      </c>
      <c r="P156" s="33">
        <v>302.875</v>
      </c>
      <c r="Q156" s="33">
        <v>302.5</v>
      </c>
      <c r="R156" s="33">
        <v>300.875</v>
      </c>
      <c r="S156" s="33">
        <v>300.375</v>
      </c>
      <c r="T156" s="33">
        <v>301.625</v>
      </c>
      <c r="U156" s="33">
        <v>301.375</v>
      </c>
      <c r="V156" s="33">
        <v>301.125</v>
      </c>
      <c r="W156" s="33">
        <v>300.375</v>
      </c>
      <c r="X156" s="33">
        <v>302.125</v>
      </c>
      <c r="Y156" s="21">
        <f t="shared" si="2"/>
        <v>301.21875</v>
      </c>
    </row>
    <row r="157" spans="1:25" x14ac:dyDescent="0.25">
      <c r="A157">
        <v>1400</v>
      </c>
      <c r="B157">
        <v>1</v>
      </c>
      <c r="C157" t="s">
        <v>41</v>
      </c>
      <c r="D157" s="33">
        <v>301.25</v>
      </c>
      <c r="E157" s="33">
        <v>301.25</v>
      </c>
      <c r="F157" s="33">
        <v>301.625</v>
      </c>
      <c r="G157" s="33">
        <v>300</v>
      </c>
      <c r="H157" s="33">
        <v>299.5</v>
      </c>
      <c r="I157" s="33">
        <v>303.5</v>
      </c>
      <c r="J157" s="33">
        <v>302.25</v>
      </c>
      <c r="L157" s="33">
        <v>301.375</v>
      </c>
      <c r="M157" s="33">
        <v>301.75</v>
      </c>
      <c r="N157" s="33">
        <v>301.875</v>
      </c>
      <c r="O157" s="33">
        <v>301.75</v>
      </c>
      <c r="P157" s="33">
        <v>302.5</v>
      </c>
      <c r="Q157" s="33">
        <v>302.875</v>
      </c>
      <c r="R157" s="33">
        <v>303.125</v>
      </c>
      <c r="S157" s="33">
        <v>302.625</v>
      </c>
      <c r="T157" s="33">
        <v>302.5</v>
      </c>
      <c r="U157" s="33">
        <v>300.125</v>
      </c>
      <c r="V157" s="33">
        <v>302.625</v>
      </c>
      <c r="W157" s="33">
        <v>301.75</v>
      </c>
      <c r="X157" s="33">
        <v>300.875</v>
      </c>
      <c r="Y157" s="21">
        <f t="shared" si="2"/>
        <v>301.75625000000002</v>
      </c>
    </row>
    <row r="158" spans="1:25" x14ac:dyDescent="0.25">
      <c r="A158">
        <v>1420</v>
      </c>
      <c r="B158">
        <v>1</v>
      </c>
      <c r="C158" t="s">
        <v>41</v>
      </c>
      <c r="D158" s="33">
        <v>301.25</v>
      </c>
      <c r="E158" s="33">
        <v>301</v>
      </c>
      <c r="F158" s="33">
        <v>304.125</v>
      </c>
      <c r="G158" s="33">
        <v>301.25</v>
      </c>
      <c r="H158" s="33">
        <v>302.375</v>
      </c>
      <c r="I158" s="33">
        <v>301.125</v>
      </c>
      <c r="J158" s="33">
        <v>301.5</v>
      </c>
      <c r="L158" s="33">
        <v>301</v>
      </c>
      <c r="M158" s="33">
        <v>302.75</v>
      </c>
      <c r="N158" s="33">
        <v>302</v>
      </c>
      <c r="O158" s="33">
        <v>302</v>
      </c>
      <c r="P158" s="33">
        <v>302.75</v>
      </c>
      <c r="Q158" s="33">
        <v>301.125</v>
      </c>
      <c r="R158" s="33">
        <v>301.375</v>
      </c>
      <c r="S158" s="33">
        <v>303.625</v>
      </c>
      <c r="T158" s="33">
        <v>300.5</v>
      </c>
      <c r="U158" s="33">
        <v>301.125</v>
      </c>
      <c r="V158" s="33">
        <v>302.75</v>
      </c>
      <c r="W158" s="33">
        <v>302.625</v>
      </c>
      <c r="X158" s="33">
        <v>303</v>
      </c>
      <c r="Y158" s="21">
        <f t="shared" si="2"/>
        <v>301.96249999999998</v>
      </c>
    </row>
    <row r="159" spans="1:25" x14ac:dyDescent="0.25">
      <c r="A159">
        <v>1440</v>
      </c>
      <c r="B159">
        <v>1</v>
      </c>
      <c r="C159" t="s">
        <v>41</v>
      </c>
      <c r="D159" s="33">
        <v>300.75</v>
      </c>
      <c r="E159" s="33">
        <v>304.5</v>
      </c>
      <c r="F159" s="33">
        <v>300.625</v>
      </c>
      <c r="G159" s="33">
        <v>299.5</v>
      </c>
      <c r="H159" s="33">
        <v>301.75</v>
      </c>
      <c r="I159" s="33">
        <v>300.5</v>
      </c>
      <c r="J159" s="33">
        <v>301.125</v>
      </c>
      <c r="L159" s="33">
        <v>302.875</v>
      </c>
      <c r="M159" s="33">
        <v>301.25</v>
      </c>
      <c r="N159" s="33">
        <v>301.5</v>
      </c>
      <c r="O159" s="33">
        <v>300.875</v>
      </c>
      <c r="P159" s="33">
        <v>302.125</v>
      </c>
      <c r="Q159" s="33">
        <v>301.625</v>
      </c>
      <c r="R159" s="33">
        <v>303.5</v>
      </c>
      <c r="S159" s="33">
        <v>302.125</v>
      </c>
      <c r="T159" s="33">
        <v>300.875</v>
      </c>
      <c r="U159" s="33">
        <v>302.875</v>
      </c>
      <c r="V159" s="33">
        <v>300.75</v>
      </c>
      <c r="W159" s="33">
        <v>303.25</v>
      </c>
      <c r="X159" s="33">
        <v>304.125</v>
      </c>
      <c r="Y159" s="21">
        <f t="shared" si="2"/>
        <v>301.82499999999999</v>
      </c>
    </row>
    <row r="160" spans="1:25" x14ac:dyDescent="0.25">
      <c r="A160">
        <v>1460</v>
      </c>
      <c r="B160">
        <v>1</v>
      </c>
      <c r="C160" t="s">
        <v>41</v>
      </c>
      <c r="D160" s="33">
        <v>301.75</v>
      </c>
      <c r="E160" s="33">
        <v>302.125</v>
      </c>
      <c r="F160" s="33">
        <v>302.5</v>
      </c>
      <c r="G160" s="33">
        <v>301</v>
      </c>
      <c r="H160" s="33">
        <v>303.875</v>
      </c>
      <c r="I160" s="33">
        <v>302.375</v>
      </c>
      <c r="J160" s="33">
        <v>303.25</v>
      </c>
      <c r="L160" s="33">
        <v>301.25</v>
      </c>
      <c r="M160" s="33">
        <v>302.75</v>
      </c>
      <c r="N160" s="33">
        <v>302.25</v>
      </c>
      <c r="O160" s="33">
        <v>300.875</v>
      </c>
      <c r="P160" s="33">
        <v>300.875</v>
      </c>
      <c r="Q160" s="33">
        <v>303.25</v>
      </c>
      <c r="R160" s="33">
        <v>302.25</v>
      </c>
      <c r="S160" s="33">
        <v>300.625</v>
      </c>
      <c r="T160" s="33">
        <v>302.875</v>
      </c>
      <c r="U160" s="33">
        <v>301.875</v>
      </c>
      <c r="V160" s="33">
        <v>302.25</v>
      </c>
      <c r="W160" s="33">
        <v>301.75</v>
      </c>
      <c r="X160" s="33">
        <v>303.875</v>
      </c>
      <c r="Y160" s="21">
        <f t="shared" si="2"/>
        <v>302.18124999999998</v>
      </c>
    </row>
    <row r="161" spans="1:25" x14ac:dyDescent="0.25">
      <c r="A161">
        <v>1480</v>
      </c>
      <c r="B161">
        <v>1</v>
      </c>
      <c r="C161" t="s">
        <v>41</v>
      </c>
      <c r="D161" s="33">
        <v>301.75</v>
      </c>
      <c r="E161" s="33">
        <v>303.25</v>
      </c>
      <c r="F161" s="33">
        <v>303.125</v>
      </c>
      <c r="G161" s="33">
        <v>302.625</v>
      </c>
      <c r="H161" s="33">
        <v>301.75</v>
      </c>
      <c r="I161" s="33">
        <v>302.75</v>
      </c>
      <c r="J161" s="33">
        <v>304</v>
      </c>
      <c r="L161" s="33">
        <v>304.5</v>
      </c>
      <c r="M161" s="33">
        <v>302</v>
      </c>
      <c r="N161" s="33">
        <v>303.25</v>
      </c>
      <c r="O161" s="33">
        <v>304</v>
      </c>
      <c r="P161" s="33">
        <v>303.5</v>
      </c>
      <c r="Q161" s="33">
        <v>302.875</v>
      </c>
      <c r="R161" s="33">
        <v>302.125</v>
      </c>
      <c r="S161" s="33">
        <v>300.125</v>
      </c>
      <c r="T161" s="33">
        <v>302.875</v>
      </c>
      <c r="U161" s="33">
        <v>303.75</v>
      </c>
      <c r="V161" s="33">
        <v>302.5</v>
      </c>
      <c r="W161" s="33">
        <v>301.625</v>
      </c>
      <c r="X161" s="33">
        <v>303.125</v>
      </c>
      <c r="Y161" s="21">
        <f t="shared" si="2"/>
        <v>302.77499999999998</v>
      </c>
    </row>
    <row r="162" spans="1:25" x14ac:dyDescent="0.25">
      <c r="A162">
        <v>1500</v>
      </c>
      <c r="B162">
        <v>1</v>
      </c>
      <c r="C162" t="s">
        <v>41</v>
      </c>
      <c r="D162" s="33">
        <v>301.25</v>
      </c>
      <c r="E162" s="33">
        <v>302.75</v>
      </c>
      <c r="F162" s="33">
        <v>304.625</v>
      </c>
      <c r="G162" s="33">
        <v>303.25</v>
      </c>
      <c r="H162" s="33">
        <v>303.125</v>
      </c>
      <c r="I162" s="33">
        <v>300.875</v>
      </c>
      <c r="J162" s="33">
        <v>301.875</v>
      </c>
      <c r="L162" s="33">
        <v>303</v>
      </c>
      <c r="M162" s="33">
        <v>303.5</v>
      </c>
      <c r="N162" s="33">
        <v>304.125</v>
      </c>
      <c r="O162" s="33">
        <v>302.375</v>
      </c>
      <c r="P162" s="33">
        <v>301.25</v>
      </c>
      <c r="Q162" s="33">
        <v>302.375</v>
      </c>
      <c r="R162" s="33">
        <v>303.125</v>
      </c>
      <c r="S162" s="33">
        <v>302.625</v>
      </c>
      <c r="T162" s="33">
        <v>302.25</v>
      </c>
      <c r="U162" s="33">
        <v>303.5</v>
      </c>
      <c r="V162" s="33">
        <v>300.625</v>
      </c>
      <c r="W162" s="33">
        <v>304</v>
      </c>
      <c r="X162" s="33">
        <v>301.875</v>
      </c>
      <c r="Y162" s="21">
        <f t="shared" si="2"/>
        <v>302.61874999999998</v>
      </c>
    </row>
    <row r="163" spans="1:25" x14ac:dyDescent="0.25">
      <c r="A163">
        <v>1520</v>
      </c>
      <c r="B163">
        <v>1</v>
      </c>
      <c r="C163" t="s">
        <v>41</v>
      </c>
      <c r="D163" s="33">
        <v>302</v>
      </c>
      <c r="E163" s="33">
        <v>300.875</v>
      </c>
      <c r="F163" s="33">
        <v>301.75</v>
      </c>
      <c r="G163" s="33">
        <v>302.25</v>
      </c>
      <c r="H163" s="33">
        <v>303</v>
      </c>
      <c r="I163" s="33">
        <v>301.25</v>
      </c>
      <c r="J163" s="33">
        <v>303</v>
      </c>
      <c r="L163" s="33">
        <v>302.375</v>
      </c>
      <c r="M163" s="33">
        <v>302.375</v>
      </c>
      <c r="N163" s="33">
        <v>304</v>
      </c>
      <c r="O163" s="33">
        <v>302.625</v>
      </c>
      <c r="P163" s="33">
        <v>303.25</v>
      </c>
      <c r="Q163" s="33">
        <v>303.75</v>
      </c>
      <c r="R163" s="33">
        <v>301.25</v>
      </c>
      <c r="S163" s="33">
        <v>301</v>
      </c>
      <c r="T163" s="33">
        <v>301.875</v>
      </c>
      <c r="U163" s="33">
        <v>302.375</v>
      </c>
      <c r="V163" s="33">
        <v>300.5</v>
      </c>
      <c r="W163" s="33">
        <v>303</v>
      </c>
      <c r="X163" s="33">
        <v>302.5</v>
      </c>
      <c r="Y163" s="21">
        <f t="shared" si="2"/>
        <v>302.25</v>
      </c>
    </row>
    <row r="164" spans="1:25" x14ac:dyDescent="0.25">
      <c r="A164">
        <v>1540</v>
      </c>
      <c r="B164">
        <v>1</v>
      </c>
      <c r="C164" t="s">
        <v>41</v>
      </c>
      <c r="D164" s="33">
        <v>300.25</v>
      </c>
      <c r="E164" s="33">
        <v>301.25</v>
      </c>
      <c r="F164" s="33">
        <v>301.25</v>
      </c>
      <c r="G164" s="33">
        <v>301.625</v>
      </c>
      <c r="H164" s="33">
        <v>302.625</v>
      </c>
      <c r="I164" s="33">
        <v>302.75</v>
      </c>
      <c r="J164" s="33">
        <v>303.125</v>
      </c>
      <c r="L164" s="33">
        <v>302</v>
      </c>
      <c r="M164" s="33">
        <v>303.375</v>
      </c>
      <c r="N164" s="33">
        <v>300.375</v>
      </c>
      <c r="O164" s="33">
        <v>302.125</v>
      </c>
      <c r="P164" s="33">
        <v>303.625</v>
      </c>
      <c r="Q164" s="33">
        <v>302.5</v>
      </c>
      <c r="R164" s="33">
        <v>304.125</v>
      </c>
      <c r="S164" s="33">
        <v>302.5</v>
      </c>
      <c r="T164" s="33">
        <v>301.75</v>
      </c>
      <c r="U164" s="33">
        <v>304.25</v>
      </c>
      <c r="V164" s="33">
        <v>302.875</v>
      </c>
      <c r="W164" s="33">
        <v>303.375</v>
      </c>
      <c r="X164" s="33">
        <v>302.25</v>
      </c>
      <c r="Y164" s="21">
        <f t="shared" si="2"/>
        <v>302.39999999999998</v>
      </c>
    </row>
    <row r="165" spans="1:25" x14ac:dyDescent="0.25">
      <c r="A165">
        <v>1560</v>
      </c>
      <c r="B165">
        <v>1</v>
      </c>
      <c r="C165" t="s">
        <v>41</v>
      </c>
      <c r="D165" s="33">
        <v>303</v>
      </c>
      <c r="E165" s="33">
        <v>301</v>
      </c>
      <c r="F165" s="33">
        <v>302.875</v>
      </c>
      <c r="G165" s="33">
        <v>303.875</v>
      </c>
      <c r="H165" s="33">
        <v>304.375</v>
      </c>
      <c r="I165" s="33">
        <v>304.75</v>
      </c>
      <c r="J165" s="33">
        <v>303.75</v>
      </c>
      <c r="L165" s="33">
        <v>303.125</v>
      </c>
      <c r="M165" s="33">
        <v>304.625</v>
      </c>
      <c r="N165" s="33">
        <v>304.625</v>
      </c>
      <c r="O165" s="33">
        <v>302.625</v>
      </c>
      <c r="P165" s="33">
        <v>303.875</v>
      </c>
      <c r="Q165" s="33">
        <v>303</v>
      </c>
      <c r="R165" s="33">
        <v>302.75</v>
      </c>
      <c r="S165" s="33">
        <v>304.125</v>
      </c>
      <c r="T165" s="33">
        <v>301.125</v>
      </c>
      <c r="U165" s="33">
        <v>303.875</v>
      </c>
      <c r="V165" s="33">
        <v>303.125</v>
      </c>
      <c r="W165" s="33">
        <v>303.5</v>
      </c>
      <c r="X165" s="33">
        <v>301.375</v>
      </c>
      <c r="Y165" s="21">
        <f t="shared" si="2"/>
        <v>303.26875000000001</v>
      </c>
    </row>
    <row r="166" spans="1:25" x14ac:dyDescent="0.25">
      <c r="A166">
        <v>1580</v>
      </c>
      <c r="B166">
        <v>1</v>
      </c>
      <c r="C166" t="s">
        <v>41</v>
      </c>
      <c r="D166" s="33">
        <v>303.125</v>
      </c>
      <c r="E166" s="33">
        <v>302.5</v>
      </c>
      <c r="F166" s="33">
        <v>304.125</v>
      </c>
      <c r="G166" s="33">
        <v>303.375</v>
      </c>
      <c r="H166" s="33">
        <v>300.125</v>
      </c>
      <c r="I166" s="33">
        <v>303.375</v>
      </c>
      <c r="J166" s="33">
        <v>304</v>
      </c>
      <c r="L166" s="33">
        <v>304</v>
      </c>
      <c r="M166" s="33">
        <v>303.75</v>
      </c>
      <c r="N166" s="33">
        <v>302.125</v>
      </c>
      <c r="O166" s="33">
        <v>303.375</v>
      </c>
      <c r="P166" s="33">
        <v>303.125</v>
      </c>
      <c r="Q166" s="33">
        <v>302.5</v>
      </c>
      <c r="R166" s="33">
        <v>302</v>
      </c>
      <c r="S166" s="33">
        <v>303</v>
      </c>
      <c r="T166" s="33">
        <v>304.75</v>
      </c>
      <c r="U166" s="33">
        <v>304</v>
      </c>
      <c r="V166" s="33">
        <v>302.25</v>
      </c>
      <c r="W166" s="33">
        <v>302.75</v>
      </c>
      <c r="X166" s="33">
        <v>301.625</v>
      </c>
      <c r="Y166" s="21">
        <f t="shared" si="2"/>
        <v>302.99374999999998</v>
      </c>
    </row>
    <row r="167" spans="1:25" x14ac:dyDescent="0.25">
      <c r="A167">
        <v>1600</v>
      </c>
      <c r="B167">
        <v>1</v>
      </c>
      <c r="C167" t="s">
        <v>41</v>
      </c>
      <c r="D167" s="33">
        <v>304.5</v>
      </c>
      <c r="E167" s="33">
        <v>305.625</v>
      </c>
      <c r="F167" s="33">
        <v>304.625</v>
      </c>
      <c r="G167" s="33">
        <v>303.5</v>
      </c>
      <c r="H167" s="33">
        <v>302.75</v>
      </c>
      <c r="I167" s="33">
        <v>303.5</v>
      </c>
      <c r="J167" s="33">
        <v>303</v>
      </c>
      <c r="L167" s="33">
        <v>305.125</v>
      </c>
      <c r="M167" s="33">
        <v>304.75</v>
      </c>
      <c r="N167" s="33">
        <v>303.25</v>
      </c>
      <c r="O167" s="33">
        <v>303.75</v>
      </c>
      <c r="P167" s="33">
        <v>305.125</v>
      </c>
      <c r="Q167" s="33">
        <v>304.375</v>
      </c>
      <c r="R167" s="33">
        <v>302.5</v>
      </c>
      <c r="S167" s="33">
        <v>302.5</v>
      </c>
      <c r="T167" s="33">
        <v>303.5</v>
      </c>
      <c r="U167" s="33">
        <v>301.125</v>
      </c>
      <c r="V167" s="33">
        <v>301.125</v>
      </c>
      <c r="W167" s="33">
        <v>301.75</v>
      </c>
      <c r="X167" s="33">
        <v>302</v>
      </c>
      <c r="Y167" s="21">
        <f t="shared" si="2"/>
        <v>303.41874999999999</v>
      </c>
    </row>
    <row r="168" spans="1:25" x14ac:dyDescent="0.25">
      <c r="A168">
        <v>1620</v>
      </c>
      <c r="B168">
        <v>1</v>
      </c>
      <c r="C168" t="s">
        <v>41</v>
      </c>
      <c r="D168" s="33">
        <v>305.5</v>
      </c>
      <c r="E168" s="33">
        <v>303.75</v>
      </c>
      <c r="F168" s="33">
        <v>305.25</v>
      </c>
      <c r="G168" s="33">
        <v>305.625</v>
      </c>
      <c r="H168" s="33">
        <v>304.625</v>
      </c>
      <c r="I168" s="33">
        <v>306.375</v>
      </c>
      <c r="J168" s="33">
        <v>303.125</v>
      </c>
      <c r="L168" s="33">
        <v>301.375</v>
      </c>
      <c r="M168" s="33">
        <v>305.125</v>
      </c>
      <c r="N168" s="33">
        <v>303.375</v>
      </c>
      <c r="O168" s="33">
        <v>301.375</v>
      </c>
      <c r="P168" s="33">
        <v>303.125</v>
      </c>
      <c r="Q168" s="33">
        <v>301.75</v>
      </c>
      <c r="R168" s="33">
        <v>305.5</v>
      </c>
      <c r="S168" s="33">
        <v>303.5</v>
      </c>
      <c r="T168" s="33">
        <v>302.625</v>
      </c>
      <c r="U168" s="33">
        <v>303.25</v>
      </c>
      <c r="V168" s="33">
        <v>303.375</v>
      </c>
      <c r="W168" s="33">
        <v>303.5</v>
      </c>
      <c r="X168" s="33">
        <v>305.5</v>
      </c>
      <c r="Y168" s="21">
        <f t="shared" si="2"/>
        <v>303.88125000000002</v>
      </c>
    </row>
    <row r="169" spans="1:25" x14ac:dyDescent="0.25">
      <c r="A169">
        <v>1640</v>
      </c>
      <c r="B169">
        <v>1</v>
      </c>
      <c r="C169" t="s">
        <v>41</v>
      </c>
      <c r="D169" s="33">
        <v>304.375</v>
      </c>
      <c r="E169" s="33">
        <v>302.625</v>
      </c>
      <c r="F169" s="33">
        <v>303</v>
      </c>
      <c r="G169" s="33">
        <v>303</v>
      </c>
      <c r="H169" s="33">
        <v>304.375</v>
      </c>
      <c r="I169" s="33">
        <v>302.75</v>
      </c>
      <c r="J169" s="33">
        <v>302.625</v>
      </c>
      <c r="L169" s="33">
        <v>303.125</v>
      </c>
      <c r="M169" s="33">
        <v>303.375</v>
      </c>
      <c r="N169" s="33">
        <v>305.375</v>
      </c>
      <c r="O169" s="33">
        <v>307.625</v>
      </c>
      <c r="P169" s="33">
        <v>304.375</v>
      </c>
      <c r="Q169" s="33">
        <v>303.125</v>
      </c>
      <c r="R169" s="33">
        <v>301.375</v>
      </c>
      <c r="S169" s="33">
        <v>302.5</v>
      </c>
      <c r="T169" s="33">
        <v>301.875</v>
      </c>
      <c r="U169" s="33">
        <v>300.75</v>
      </c>
      <c r="V169" s="33">
        <v>303.5</v>
      </c>
      <c r="W169" s="33">
        <v>303.5</v>
      </c>
      <c r="X169" s="33">
        <v>303.625</v>
      </c>
      <c r="Y169" s="21">
        <f t="shared" si="2"/>
        <v>303.34375</v>
      </c>
    </row>
    <row r="170" spans="1:25" x14ac:dyDescent="0.25">
      <c r="A170">
        <v>1660</v>
      </c>
      <c r="B170">
        <v>1</v>
      </c>
      <c r="C170" t="s">
        <v>41</v>
      </c>
      <c r="D170" s="33">
        <v>306.25</v>
      </c>
      <c r="E170" s="33">
        <v>305.625</v>
      </c>
      <c r="F170" s="33">
        <v>305.75</v>
      </c>
      <c r="G170" s="33">
        <v>306.375</v>
      </c>
      <c r="H170" s="33">
        <v>302.375</v>
      </c>
      <c r="I170" s="33">
        <v>307</v>
      </c>
      <c r="J170" s="33">
        <v>304.375</v>
      </c>
      <c r="L170" s="33">
        <v>304.25</v>
      </c>
      <c r="M170" s="33">
        <v>303.625</v>
      </c>
      <c r="N170" s="33">
        <v>304.875</v>
      </c>
      <c r="O170" s="33">
        <v>305</v>
      </c>
      <c r="P170" s="33">
        <v>305.125</v>
      </c>
      <c r="Q170" s="33">
        <v>305</v>
      </c>
      <c r="R170" s="33">
        <v>305.625</v>
      </c>
      <c r="S170" s="33">
        <v>303.75</v>
      </c>
      <c r="T170" s="33">
        <v>303.625</v>
      </c>
      <c r="U170" s="33">
        <v>305.875</v>
      </c>
      <c r="V170" s="33">
        <v>304.375</v>
      </c>
      <c r="W170" s="33">
        <v>305.375</v>
      </c>
      <c r="X170" s="33">
        <v>305.125</v>
      </c>
      <c r="Y170" s="21">
        <f t="shared" si="2"/>
        <v>304.96875</v>
      </c>
    </row>
    <row r="171" spans="1:25" x14ac:dyDescent="0.25">
      <c r="A171">
        <v>1680</v>
      </c>
      <c r="B171">
        <v>1</v>
      </c>
      <c r="C171" t="s">
        <v>41</v>
      </c>
      <c r="D171" s="33">
        <v>309.375</v>
      </c>
      <c r="E171" s="33">
        <v>305.875</v>
      </c>
      <c r="F171" s="33">
        <v>303.5</v>
      </c>
      <c r="G171" s="33">
        <v>303.375</v>
      </c>
      <c r="H171" s="33">
        <v>306.625</v>
      </c>
      <c r="I171" s="33">
        <v>305.25</v>
      </c>
      <c r="J171" s="33">
        <v>306.625</v>
      </c>
      <c r="L171" s="33">
        <v>306.75</v>
      </c>
      <c r="M171" s="33">
        <v>306.75</v>
      </c>
      <c r="N171" s="33">
        <v>303.5</v>
      </c>
      <c r="O171" s="33">
        <v>304.625</v>
      </c>
      <c r="P171" s="33">
        <v>304.625</v>
      </c>
      <c r="Q171" s="33">
        <v>304.125</v>
      </c>
      <c r="R171" s="33">
        <v>305.75</v>
      </c>
      <c r="S171" s="33">
        <v>307.25</v>
      </c>
      <c r="T171" s="33">
        <v>303.375</v>
      </c>
      <c r="U171" s="33">
        <v>303.625</v>
      </c>
      <c r="V171" s="33">
        <v>304.75</v>
      </c>
      <c r="W171" s="33">
        <v>306.375</v>
      </c>
      <c r="X171" s="33">
        <v>304.875</v>
      </c>
      <c r="Y171" s="21">
        <f t="shared" si="2"/>
        <v>305.35000000000002</v>
      </c>
    </row>
    <row r="172" spans="1:25" x14ac:dyDescent="0.25">
      <c r="A172">
        <v>1700</v>
      </c>
      <c r="B172">
        <v>1</v>
      </c>
      <c r="C172" t="s">
        <v>41</v>
      </c>
      <c r="D172" s="33">
        <v>305</v>
      </c>
      <c r="E172" s="33">
        <v>306.75</v>
      </c>
      <c r="F172" s="33">
        <v>307.375</v>
      </c>
      <c r="G172" s="33">
        <v>307</v>
      </c>
      <c r="H172" s="33">
        <v>306.875</v>
      </c>
      <c r="I172" s="33">
        <v>306.625</v>
      </c>
      <c r="J172" s="33">
        <v>306.625</v>
      </c>
      <c r="L172" s="33">
        <v>306.5</v>
      </c>
      <c r="M172" s="33">
        <v>307.25</v>
      </c>
      <c r="N172" s="33">
        <v>305.875</v>
      </c>
      <c r="O172" s="33">
        <v>307.375</v>
      </c>
      <c r="P172" s="33">
        <v>305.5</v>
      </c>
      <c r="Q172" s="33">
        <v>305.125</v>
      </c>
      <c r="R172" s="33">
        <v>305.875</v>
      </c>
      <c r="S172" s="33">
        <v>305.625</v>
      </c>
      <c r="T172" s="33">
        <v>305.875</v>
      </c>
      <c r="U172" s="33">
        <v>306.875</v>
      </c>
      <c r="V172" s="33">
        <v>305.125</v>
      </c>
      <c r="W172" s="33">
        <v>306.875</v>
      </c>
      <c r="X172" s="33">
        <v>307.75</v>
      </c>
      <c r="Y172" s="21">
        <f t="shared" si="2"/>
        <v>306.39375000000001</v>
      </c>
    </row>
    <row r="173" spans="1:25" x14ac:dyDescent="0.25">
      <c r="A173">
        <v>1720</v>
      </c>
      <c r="B173">
        <v>1</v>
      </c>
      <c r="C173" t="s">
        <v>41</v>
      </c>
      <c r="D173" s="33">
        <v>307.125</v>
      </c>
      <c r="E173" s="33">
        <v>309.125</v>
      </c>
      <c r="F173" s="33">
        <v>308.25</v>
      </c>
      <c r="G173" s="33">
        <v>305.75</v>
      </c>
      <c r="H173" s="33">
        <v>306.75</v>
      </c>
      <c r="I173" s="33">
        <v>306.125</v>
      </c>
      <c r="J173" s="33">
        <v>305.25</v>
      </c>
      <c r="L173" s="33">
        <v>308</v>
      </c>
      <c r="M173" s="33">
        <v>306.875</v>
      </c>
      <c r="N173" s="33">
        <v>308.25</v>
      </c>
      <c r="O173" s="33">
        <v>304.625</v>
      </c>
      <c r="P173" s="33">
        <v>304.875</v>
      </c>
      <c r="Q173" s="33">
        <v>305.875</v>
      </c>
      <c r="R173" s="33">
        <v>308.375</v>
      </c>
      <c r="S173" s="33">
        <v>306.25</v>
      </c>
      <c r="T173" s="33">
        <v>306.5</v>
      </c>
      <c r="U173" s="33">
        <v>307</v>
      </c>
      <c r="V173" s="33">
        <v>306.625</v>
      </c>
      <c r="W173" s="33">
        <v>305.125</v>
      </c>
      <c r="X173" s="33">
        <v>306.875</v>
      </c>
      <c r="Y173" s="21">
        <f t="shared" si="2"/>
        <v>306.68124999999998</v>
      </c>
    </row>
    <row r="174" spans="1:25" x14ac:dyDescent="0.25">
      <c r="A174">
        <v>1740</v>
      </c>
      <c r="B174">
        <v>1</v>
      </c>
      <c r="C174" t="s">
        <v>41</v>
      </c>
      <c r="D174" s="33">
        <v>310.625</v>
      </c>
      <c r="E174" s="33">
        <v>307.25</v>
      </c>
      <c r="F174" s="33">
        <v>308.875</v>
      </c>
      <c r="G174" s="33">
        <v>306.625</v>
      </c>
      <c r="H174" s="33">
        <v>306.625</v>
      </c>
      <c r="I174" s="33">
        <v>307.125</v>
      </c>
      <c r="J174" s="33">
        <v>307</v>
      </c>
      <c r="L174" s="33">
        <v>305</v>
      </c>
      <c r="M174" s="33">
        <v>305.25</v>
      </c>
      <c r="N174" s="33">
        <v>306.75</v>
      </c>
      <c r="O174" s="33">
        <v>306.625</v>
      </c>
      <c r="P174" s="33">
        <v>308.5</v>
      </c>
      <c r="Q174" s="33">
        <v>307.5</v>
      </c>
      <c r="R174" s="33">
        <v>305.875</v>
      </c>
      <c r="S174" s="33">
        <v>307.875</v>
      </c>
      <c r="T174" s="33">
        <v>307.125</v>
      </c>
      <c r="U174" s="33">
        <v>307.625</v>
      </c>
      <c r="V174" s="33">
        <v>308.125</v>
      </c>
      <c r="W174" s="33">
        <v>307.5</v>
      </c>
      <c r="X174" s="33">
        <v>307.75</v>
      </c>
      <c r="Y174" s="21">
        <f t="shared" si="2"/>
        <v>307.28125</v>
      </c>
    </row>
    <row r="175" spans="1:25" x14ac:dyDescent="0.25">
      <c r="A175">
        <v>1760</v>
      </c>
      <c r="B175">
        <v>1</v>
      </c>
      <c r="C175" t="s">
        <v>41</v>
      </c>
      <c r="D175" s="33">
        <v>309.875</v>
      </c>
      <c r="E175" s="33">
        <v>308.125</v>
      </c>
      <c r="F175" s="33">
        <v>308.125</v>
      </c>
      <c r="G175" s="33">
        <v>308</v>
      </c>
      <c r="H175" s="33">
        <v>307.5</v>
      </c>
      <c r="I175" s="33">
        <v>306.75</v>
      </c>
      <c r="J175" s="33">
        <v>308.5</v>
      </c>
      <c r="L175" s="33">
        <v>306.625</v>
      </c>
      <c r="M175" s="33">
        <v>307</v>
      </c>
      <c r="N175" s="33">
        <v>304.625</v>
      </c>
      <c r="O175" s="33">
        <v>306.25</v>
      </c>
      <c r="P175" s="33">
        <v>305.875</v>
      </c>
      <c r="Q175" s="33">
        <v>306.875</v>
      </c>
      <c r="R175" s="33">
        <v>309.25</v>
      </c>
      <c r="S175" s="33">
        <v>305.875</v>
      </c>
      <c r="T175" s="33">
        <v>308.5</v>
      </c>
      <c r="U175" s="33">
        <v>306.625</v>
      </c>
      <c r="V175" s="33">
        <v>305.25</v>
      </c>
      <c r="W175" s="33">
        <v>308.375</v>
      </c>
      <c r="X175" s="33">
        <v>306.625</v>
      </c>
      <c r="Y175" s="21">
        <f t="shared" si="2"/>
        <v>307.23124999999999</v>
      </c>
    </row>
    <row r="176" spans="1:25" x14ac:dyDescent="0.25">
      <c r="Y176" s="32">
        <f>AVERAGE(Y122:Y175)</f>
        <v>302.90451388888886</v>
      </c>
    </row>
    <row r="181" spans="1:25" x14ac:dyDescent="0.25">
      <c r="A181">
        <v>1780</v>
      </c>
      <c r="B181">
        <v>1</v>
      </c>
      <c r="C181" t="s">
        <v>41</v>
      </c>
      <c r="D181" s="33">
        <v>307.25</v>
      </c>
      <c r="E181" s="33">
        <v>307.25</v>
      </c>
      <c r="F181" s="33">
        <v>306.25</v>
      </c>
      <c r="G181" s="33">
        <v>308</v>
      </c>
      <c r="H181" s="33">
        <v>308</v>
      </c>
      <c r="I181" s="33">
        <v>306.5</v>
      </c>
      <c r="J181" s="33">
        <v>306.125</v>
      </c>
      <c r="L181" s="33">
        <v>308.75</v>
      </c>
      <c r="M181" s="33">
        <v>308</v>
      </c>
      <c r="N181" s="33">
        <v>308</v>
      </c>
      <c r="O181" s="33">
        <v>309.125</v>
      </c>
      <c r="P181" s="33">
        <v>306.875</v>
      </c>
      <c r="Q181" s="33">
        <v>306.375</v>
      </c>
      <c r="R181" s="33">
        <v>306.375</v>
      </c>
      <c r="S181" s="33">
        <v>305.125</v>
      </c>
      <c r="T181" s="33">
        <v>305.75</v>
      </c>
      <c r="U181" s="33">
        <v>306.625</v>
      </c>
      <c r="V181" s="33">
        <v>307.875</v>
      </c>
      <c r="W181" s="33">
        <v>307.125</v>
      </c>
      <c r="X181" s="33">
        <v>305.625</v>
      </c>
      <c r="Y181" s="21">
        <f t="shared" ref="Y181:Y236" si="3">AVERAGE(D181:X181)</f>
        <v>307.05</v>
      </c>
    </row>
    <row r="182" spans="1:25" x14ac:dyDescent="0.25">
      <c r="A182">
        <v>700</v>
      </c>
      <c r="B182">
        <v>1</v>
      </c>
      <c r="C182" t="s">
        <v>40</v>
      </c>
      <c r="D182" s="33">
        <v>334.875</v>
      </c>
      <c r="E182" s="33">
        <v>331.5</v>
      </c>
      <c r="F182" s="33">
        <v>333.5</v>
      </c>
      <c r="G182" s="33">
        <v>332.5</v>
      </c>
      <c r="H182" s="33">
        <v>333.125</v>
      </c>
      <c r="I182" s="33">
        <v>331.375</v>
      </c>
      <c r="J182" s="33">
        <v>330.375</v>
      </c>
      <c r="L182" s="33">
        <v>332.25</v>
      </c>
      <c r="M182" s="33">
        <v>330.875</v>
      </c>
      <c r="N182" s="33">
        <v>332.875</v>
      </c>
      <c r="O182" s="33">
        <v>331.125</v>
      </c>
      <c r="P182" s="33">
        <v>328.375</v>
      </c>
      <c r="Q182" s="33">
        <v>330.5</v>
      </c>
      <c r="R182" s="33">
        <v>328.5</v>
      </c>
      <c r="S182" s="33">
        <v>331.375</v>
      </c>
      <c r="T182" s="33">
        <v>331.125</v>
      </c>
      <c r="U182" s="33">
        <v>331.5</v>
      </c>
      <c r="V182" s="33">
        <v>327.25</v>
      </c>
      <c r="W182" s="33">
        <v>329.125</v>
      </c>
      <c r="X182" s="33">
        <v>329.375</v>
      </c>
      <c r="Y182" s="21">
        <f t="shared" si="3"/>
        <v>331.07499999999999</v>
      </c>
    </row>
    <row r="183" spans="1:25" x14ac:dyDescent="0.25">
      <c r="A183">
        <v>720</v>
      </c>
      <c r="B183">
        <v>1</v>
      </c>
      <c r="C183" t="s">
        <v>40</v>
      </c>
      <c r="D183" s="33">
        <v>331.375</v>
      </c>
      <c r="E183" s="33">
        <v>331.375</v>
      </c>
      <c r="F183" s="33">
        <v>324.875</v>
      </c>
      <c r="G183" s="33">
        <v>330.5</v>
      </c>
      <c r="H183" s="33">
        <v>329.375</v>
      </c>
      <c r="I183" s="33">
        <v>329.875</v>
      </c>
      <c r="J183" s="33">
        <v>331.25</v>
      </c>
      <c r="L183" s="33">
        <v>328.125</v>
      </c>
      <c r="M183" s="33">
        <v>329.375</v>
      </c>
      <c r="N183" s="33">
        <v>327.625</v>
      </c>
      <c r="O183" s="33">
        <v>329.375</v>
      </c>
      <c r="P183" s="33">
        <v>329.875</v>
      </c>
      <c r="Q183" s="33">
        <v>326.5</v>
      </c>
      <c r="R183" s="33">
        <v>327.625</v>
      </c>
      <c r="S183" s="33">
        <v>326.75</v>
      </c>
      <c r="T183" s="33">
        <v>329</v>
      </c>
      <c r="U183" s="33">
        <v>330.625</v>
      </c>
      <c r="V183" s="33">
        <v>328.5</v>
      </c>
      <c r="W183" s="33">
        <v>324.75</v>
      </c>
      <c r="X183" s="33">
        <v>327.5</v>
      </c>
      <c r="Y183" s="21">
        <f t="shared" si="3"/>
        <v>328.71249999999998</v>
      </c>
    </row>
    <row r="184" spans="1:25" x14ac:dyDescent="0.25">
      <c r="A184">
        <v>740</v>
      </c>
      <c r="B184">
        <v>1</v>
      </c>
      <c r="C184" t="s">
        <v>40</v>
      </c>
      <c r="D184" s="33">
        <v>330.625</v>
      </c>
      <c r="E184" s="33">
        <v>332.5</v>
      </c>
      <c r="F184" s="33">
        <v>331.5</v>
      </c>
      <c r="G184" s="33">
        <v>330.5</v>
      </c>
      <c r="H184" s="33">
        <v>330.375</v>
      </c>
      <c r="I184" s="33">
        <v>319.25</v>
      </c>
      <c r="J184" s="33">
        <v>330.25</v>
      </c>
      <c r="L184" s="33">
        <v>326.5</v>
      </c>
      <c r="M184" s="33">
        <v>319.75</v>
      </c>
      <c r="N184" s="33">
        <v>329.5</v>
      </c>
      <c r="O184" s="33">
        <v>326</v>
      </c>
      <c r="P184" s="33">
        <v>332.75</v>
      </c>
      <c r="Q184" s="33">
        <v>327.75</v>
      </c>
      <c r="R184" s="33">
        <v>327.375</v>
      </c>
      <c r="S184" s="33">
        <v>328.25</v>
      </c>
      <c r="T184" s="33">
        <v>327.75</v>
      </c>
      <c r="U184" s="33">
        <v>328.375</v>
      </c>
      <c r="V184" s="33">
        <v>326.625</v>
      </c>
      <c r="W184" s="33">
        <v>323.5</v>
      </c>
      <c r="X184" s="33">
        <v>324.875</v>
      </c>
      <c r="Y184" s="21">
        <f t="shared" si="3"/>
        <v>327.7</v>
      </c>
    </row>
    <row r="185" spans="1:25" x14ac:dyDescent="0.25">
      <c r="A185">
        <v>760</v>
      </c>
      <c r="B185">
        <v>1</v>
      </c>
      <c r="C185" t="s">
        <v>40</v>
      </c>
      <c r="D185" s="33">
        <v>331.375</v>
      </c>
      <c r="E185" s="33">
        <v>329.75</v>
      </c>
      <c r="F185" s="33">
        <v>327.75</v>
      </c>
      <c r="G185" s="33">
        <v>328.375</v>
      </c>
      <c r="H185" s="33">
        <v>329.25</v>
      </c>
      <c r="I185" s="33">
        <v>328.75</v>
      </c>
      <c r="J185" s="33">
        <v>327.875</v>
      </c>
      <c r="L185" s="33">
        <v>326.625</v>
      </c>
      <c r="M185" s="33">
        <v>327.25</v>
      </c>
      <c r="N185" s="33">
        <v>327.625</v>
      </c>
      <c r="O185" s="33">
        <v>326</v>
      </c>
      <c r="P185" s="33">
        <v>327.5</v>
      </c>
      <c r="Q185" s="33">
        <v>325.75</v>
      </c>
      <c r="R185" s="33">
        <v>326.875</v>
      </c>
      <c r="S185" s="33">
        <v>322.75</v>
      </c>
      <c r="T185" s="33">
        <v>328</v>
      </c>
      <c r="U185" s="33">
        <v>327.25</v>
      </c>
      <c r="V185" s="33">
        <v>324.25</v>
      </c>
      <c r="W185" s="33">
        <v>327.5</v>
      </c>
      <c r="X185" s="33">
        <v>327</v>
      </c>
      <c r="Y185" s="21">
        <f t="shared" si="3"/>
        <v>327.375</v>
      </c>
    </row>
    <row r="186" spans="1:25" x14ac:dyDescent="0.25">
      <c r="A186">
        <v>780</v>
      </c>
      <c r="B186">
        <v>1</v>
      </c>
      <c r="C186" t="s">
        <v>40</v>
      </c>
      <c r="D186" s="33">
        <v>330</v>
      </c>
      <c r="E186" s="33">
        <v>326.875</v>
      </c>
      <c r="F186" s="33">
        <v>327.875</v>
      </c>
      <c r="G186" s="33">
        <v>330.625</v>
      </c>
      <c r="H186" s="33">
        <v>326.125</v>
      </c>
      <c r="I186" s="33">
        <v>327.75</v>
      </c>
      <c r="J186" s="33">
        <v>326.875</v>
      </c>
      <c r="L186" s="33">
        <v>326.375</v>
      </c>
      <c r="M186" s="33">
        <v>329.375</v>
      </c>
      <c r="N186" s="33">
        <v>327.875</v>
      </c>
      <c r="O186" s="33">
        <v>323.875</v>
      </c>
      <c r="P186" s="33">
        <v>326.375</v>
      </c>
      <c r="Q186" s="33">
        <v>325.875</v>
      </c>
      <c r="R186" s="33">
        <v>325.75</v>
      </c>
      <c r="S186" s="33">
        <v>326.875</v>
      </c>
      <c r="T186" s="33">
        <v>324.625</v>
      </c>
      <c r="U186" s="33">
        <v>327.375</v>
      </c>
      <c r="V186" s="33">
        <v>326.125</v>
      </c>
      <c r="W186" s="33">
        <v>319.75</v>
      </c>
      <c r="X186" s="33">
        <v>327.375</v>
      </c>
      <c r="Y186" s="21">
        <f t="shared" si="3"/>
        <v>326.6875</v>
      </c>
    </row>
    <row r="187" spans="1:25" x14ac:dyDescent="0.25">
      <c r="A187">
        <v>800</v>
      </c>
      <c r="B187">
        <v>1</v>
      </c>
      <c r="C187" t="s">
        <v>40</v>
      </c>
      <c r="D187" s="33">
        <v>329.75</v>
      </c>
      <c r="E187" s="33">
        <v>331.25</v>
      </c>
      <c r="F187" s="33">
        <v>329</v>
      </c>
      <c r="G187" s="33">
        <v>325.5</v>
      </c>
      <c r="H187" s="33">
        <v>324</v>
      </c>
      <c r="I187" s="33">
        <v>325.625</v>
      </c>
      <c r="J187" s="33">
        <v>323.375</v>
      </c>
      <c r="L187" s="33">
        <v>325.75</v>
      </c>
      <c r="M187" s="33">
        <v>329.125</v>
      </c>
      <c r="N187" s="33">
        <v>326.5</v>
      </c>
      <c r="O187" s="33">
        <v>326.875</v>
      </c>
      <c r="P187" s="33">
        <v>328.25</v>
      </c>
      <c r="Q187" s="33">
        <v>330.375</v>
      </c>
      <c r="R187" s="33">
        <v>324.75</v>
      </c>
      <c r="S187" s="33">
        <v>324.625</v>
      </c>
      <c r="T187" s="33">
        <v>328.875</v>
      </c>
      <c r="U187" s="33">
        <v>325.75</v>
      </c>
      <c r="V187" s="33">
        <v>325.125</v>
      </c>
      <c r="W187" s="33">
        <v>325.5</v>
      </c>
      <c r="X187" s="33">
        <v>325.375</v>
      </c>
      <c r="Y187" s="21">
        <f t="shared" si="3"/>
        <v>326.76875000000001</v>
      </c>
    </row>
    <row r="188" spans="1:25" x14ac:dyDescent="0.25">
      <c r="A188">
        <v>820</v>
      </c>
      <c r="B188">
        <v>1</v>
      </c>
      <c r="C188" t="s">
        <v>40</v>
      </c>
      <c r="D188" s="33">
        <v>329.375</v>
      </c>
      <c r="E188" s="33">
        <v>325.875</v>
      </c>
      <c r="F188" s="33">
        <v>324.875</v>
      </c>
      <c r="G188" s="33">
        <v>329</v>
      </c>
      <c r="H188" s="33">
        <v>330.25</v>
      </c>
      <c r="I188" s="33">
        <v>329.5</v>
      </c>
      <c r="J188" s="33">
        <v>327</v>
      </c>
      <c r="L188" s="33">
        <v>328.125</v>
      </c>
      <c r="M188" s="33">
        <v>328.75</v>
      </c>
      <c r="N188" s="33">
        <v>329</v>
      </c>
      <c r="O188" s="33">
        <v>326.625</v>
      </c>
      <c r="P188" s="33">
        <v>324.875</v>
      </c>
      <c r="Q188" s="33">
        <v>326.25</v>
      </c>
      <c r="R188" s="33">
        <v>326</v>
      </c>
      <c r="S188" s="33">
        <v>326.625</v>
      </c>
      <c r="T188" s="33">
        <v>325.875</v>
      </c>
      <c r="U188" s="33">
        <v>326.5</v>
      </c>
      <c r="V188" s="33">
        <v>324.625</v>
      </c>
      <c r="W188" s="33">
        <v>327.75</v>
      </c>
      <c r="X188" s="33">
        <v>326</v>
      </c>
      <c r="Y188" s="21">
        <f t="shared" si="3"/>
        <v>327.14375000000001</v>
      </c>
    </row>
    <row r="189" spans="1:25" x14ac:dyDescent="0.25">
      <c r="A189">
        <v>840</v>
      </c>
      <c r="B189">
        <v>1</v>
      </c>
      <c r="C189" t="s">
        <v>40</v>
      </c>
      <c r="D189" s="33">
        <v>324.125</v>
      </c>
      <c r="E189" s="33">
        <v>329.5</v>
      </c>
      <c r="F189" s="33">
        <v>326.375</v>
      </c>
      <c r="G189" s="33">
        <v>330.125</v>
      </c>
      <c r="H189" s="33">
        <v>331.625</v>
      </c>
      <c r="I189" s="33">
        <v>329.125</v>
      </c>
      <c r="J189" s="33">
        <v>327.375</v>
      </c>
      <c r="L189" s="33">
        <v>326.875</v>
      </c>
      <c r="M189" s="33">
        <v>325.375</v>
      </c>
      <c r="N189" s="33">
        <v>326.25</v>
      </c>
      <c r="O189" s="33">
        <v>323</v>
      </c>
      <c r="P189" s="33">
        <v>325.125</v>
      </c>
      <c r="Q189" s="33">
        <v>323.625</v>
      </c>
      <c r="R189" s="33">
        <v>324.25</v>
      </c>
      <c r="S189" s="33">
        <v>326.75</v>
      </c>
      <c r="T189" s="33">
        <v>325.25</v>
      </c>
      <c r="U189" s="33">
        <v>325.375</v>
      </c>
      <c r="V189" s="33">
        <v>326.25</v>
      </c>
      <c r="W189" s="33">
        <v>327.125</v>
      </c>
      <c r="X189" s="33">
        <v>326.625</v>
      </c>
      <c r="Y189" s="21">
        <f t="shared" si="3"/>
        <v>326.50625000000002</v>
      </c>
    </row>
    <row r="190" spans="1:25" x14ac:dyDescent="0.25">
      <c r="A190">
        <v>860</v>
      </c>
      <c r="B190">
        <v>1</v>
      </c>
      <c r="C190" t="s">
        <v>40</v>
      </c>
      <c r="D190" s="33">
        <v>329.375</v>
      </c>
      <c r="E190" s="33">
        <v>329.5</v>
      </c>
      <c r="F190" s="33">
        <v>329.875</v>
      </c>
      <c r="G190" s="33">
        <v>327.25</v>
      </c>
      <c r="H190" s="33">
        <v>329</v>
      </c>
      <c r="I190" s="33">
        <v>326.75</v>
      </c>
      <c r="J190" s="33">
        <v>327</v>
      </c>
      <c r="L190" s="33">
        <v>327</v>
      </c>
      <c r="M190" s="33">
        <v>328.375</v>
      </c>
      <c r="N190" s="33">
        <v>325.5</v>
      </c>
      <c r="O190" s="33">
        <v>326.375</v>
      </c>
      <c r="P190" s="33">
        <v>324.25</v>
      </c>
      <c r="Q190" s="33">
        <v>322.625</v>
      </c>
      <c r="R190" s="33">
        <v>322.875</v>
      </c>
      <c r="S190" s="33">
        <v>325.75</v>
      </c>
      <c r="T190" s="33">
        <v>326.75</v>
      </c>
      <c r="U190" s="33">
        <v>322.25</v>
      </c>
      <c r="V190" s="33">
        <v>324.75</v>
      </c>
      <c r="W190" s="33">
        <v>324.125</v>
      </c>
      <c r="X190" s="33">
        <v>324.25</v>
      </c>
      <c r="Y190" s="21">
        <f t="shared" si="3"/>
        <v>326.18124999999998</v>
      </c>
    </row>
    <row r="191" spans="1:25" x14ac:dyDescent="0.25">
      <c r="A191">
        <v>880</v>
      </c>
      <c r="B191">
        <v>1</v>
      </c>
      <c r="C191" t="s">
        <v>40</v>
      </c>
      <c r="D191" s="33">
        <v>327</v>
      </c>
      <c r="E191" s="33">
        <v>328.375</v>
      </c>
      <c r="F191" s="33">
        <v>329.625</v>
      </c>
      <c r="G191" s="33">
        <v>327.375</v>
      </c>
      <c r="H191" s="33">
        <v>326.625</v>
      </c>
      <c r="I191" s="33">
        <v>323.375</v>
      </c>
      <c r="J191" s="33">
        <v>325.625</v>
      </c>
      <c r="L191" s="33">
        <v>325</v>
      </c>
      <c r="M191" s="33">
        <v>322.75</v>
      </c>
      <c r="N191" s="33">
        <v>323</v>
      </c>
      <c r="O191" s="33">
        <v>324.25</v>
      </c>
      <c r="P191" s="33">
        <v>324.75</v>
      </c>
      <c r="Q191" s="33">
        <v>325</v>
      </c>
      <c r="R191" s="33">
        <v>323.875</v>
      </c>
      <c r="S191" s="33">
        <v>324.375</v>
      </c>
      <c r="T191" s="33">
        <v>326.75</v>
      </c>
      <c r="U191" s="33">
        <v>325.375</v>
      </c>
      <c r="V191" s="33">
        <v>323.625</v>
      </c>
      <c r="W191" s="33">
        <v>324</v>
      </c>
      <c r="X191" s="33">
        <v>323.125</v>
      </c>
      <c r="Y191" s="21">
        <f t="shared" si="3"/>
        <v>325.19375000000002</v>
      </c>
    </row>
    <row r="192" spans="1:25" x14ac:dyDescent="0.25">
      <c r="A192">
        <v>900</v>
      </c>
      <c r="B192">
        <v>1</v>
      </c>
      <c r="C192" t="s">
        <v>40</v>
      </c>
      <c r="D192" s="33">
        <v>327.5</v>
      </c>
      <c r="E192" s="33">
        <v>328</v>
      </c>
      <c r="F192" s="33">
        <v>327.25</v>
      </c>
      <c r="G192" s="33">
        <v>323.25</v>
      </c>
      <c r="H192" s="33">
        <v>325</v>
      </c>
      <c r="I192" s="33">
        <v>322</v>
      </c>
      <c r="J192" s="33">
        <v>324.75</v>
      </c>
      <c r="L192" s="33">
        <v>325.375</v>
      </c>
      <c r="M192" s="33">
        <v>324.5</v>
      </c>
      <c r="N192" s="33">
        <v>322</v>
      </c>
      <c r="O192" s="33">
        <v>321.5</v>
      </c>
      <c r="P192" s="33">
        <v>323.625</v>
      </c>
      <c r="Q192" s="33">
        <v>323.125</v>
      </c>
      <c r="R192" s="33">
        <v>323.875</v>
      </c>
      <c r="S192" s="33">
        <v>324.875</v>
      </c>
      <c r="T192" s="33">
        <v>323.125</v>
      </c>
      <c r="U192" s="33">
        <v>322.625</v>
      </c>
      <c r="V192" s="33">
        <v>326.125</v>
      </c>
      <c r="W192" s="33">
        <v>325.5</v>
      </c>
      <c r="X192" s="33">
        <v>324.875</v>
      </c>
      <c r="Y192" s="21">
        <f t="shared" si="3"/>
        <v>324.44375000000002</v>
      </c>
    </row>
    <row r="193" spans="1:25" x14ac:dyDescent="0.25">
      <c r="A193">
        <v>920</v>
      </c>
      <c r="B193">
        <v>1</v>
      </c>
      <c r="C193" t="s">
        <v>40</v>
      </c>
      <c r="D193" s="33">
        <v>327.625</v>
      </c>
      <c r="E193" s="33">
        <v>327</v>
      </c>
      <c r="F193" s="33">
        <v>325.125</v>
      </c>
      <c r="G193" s="33">
        <v>326.875</v>
      </c>
      <c r="H193" s="33">
        <v>326</v>
      </c>
      <c r="I193" s="33">
        <v>326.625</v>
      </c>
      <c r="J193" s="33">
        <v>324.25</v>
      </c>
      <c r="L193" s="33">
        <v>325.125</v>
      </c>
      <c r="M193" s="33">
        <v>323.5</v>
      </c>
      <c r="N193" s="33">
        <v>324.875</v>
      </c>
      <c r="O193" s="33">
        <v>324.375</v>
      </c>
      <c r="P193" s="33">
        <v>325.875</v>
      </c>
      <c r="Q193" s="33">
        <v>327.125</v>
      </c>
      <c r="R193" s="33">
        <v>325.25</v>
      </c>
      <c r="S193" s="33">
        <v>324.125</v>
      </c>
      <c r="T193" s="33">
        <v>326.5</v>
      </c>
      <c r="U193" s="33">
        <v>322.875</v>
      </c>
      <c r="V193" s="33">
        <v>323.5</v>
      </c>
      <c r="W193" s="33">
        <v>322.625</v>
      </c>
      <c r="X193" s="33">
        <v>324.125</v>
      </c>
      <c r="Y193" s="21">
        <f t="shared" si="3"/>
        <v>325.16874999999999</v>
      </c>
    </row>
    <row r="194" spans="1:25" x14ac:dyDescent="0.25">
      <c r="A194">
        <v>940</v>
      </c>
      <c r="B194">
        <v>1</v>
      </c>
      <c r="C194" t="s">
        <v>40</v>
      </c>
      <c r="D194" s="33">
        <v>325.75</v>
      </c>
      <c r="E194" s="33">
        <v>325.75</v>
      </c>
      <c r="F194" s="33">
        <v>326.25</v>
      </c>
      <c r="G194" s="33">
        <v>324.375</v>
      </c>
      <c r="H194" s="33">
        <v>325.125</v>
      </c>
      <c r="I194" s="33">
        <v>321.875</v>
      </c>
      <c r="J194" s="33">
        <v>323.25</v>
      </c>
      <c r="L194" s="33">
        <v>320.375</v>
      </c>
      <c r="M194" s="33">
        <v>324</v>
      </c>
      <c r="N194" s="33">
        <v>323.625</v>
      </c>
      <c r="O194" s="33">
        <v>323.5</v>
      </c>
      <c r="P194" s="33">
        <v>323.125</v>
      </c>
      <c r="Q194" s="33">
        <v>323.375</v>
      </c>
      <c r="R194" s="33">
        <v>324.25</v>
      </c>
      <c r="S194" s="33">
        <v>326.25</v>
      </c>
      <c r="T194" s="33">
        <v>323.5</v>
      </c>
      <c r="U194" s="33">
        <v>323</v>
      </c>
      <c r="V194" s="33">
        <v>324</v>
      </c>
      <c r="W194" s="33">
        <v>320.625</v>
      </c>
      <c r="X194" s="33">
        <v>321.5</v>
      </c>
      <c r="Y194" s="21">
        <f t="shared" si="3"/>
        <v>323.67500000000001</v>
      </c>
    </row>
    <row r="195" spans="1:25" x14ac:dyDescent="0.25">
      <c r="A195">
        <v>960</v>
      </c>
      <c r="B195">
        <v>1</v>
      </c>
      <c r="C195" t="s">
        <v>40</v>
      </c>
      <c r="D195" s="33">
        <v>326</v>
      </c>
      <c r="E195" s="33">
        <v>324.875</v>
      </c>
      <c r="F195" s="33">
        <v>324.5</v>
      </c>
      <c r="G195" s="33">
        <v>324.75</v>
      </c>
      <c r="H195" s="33">
        <v>325.375</v>
      </c>
      <c r="I195" s="33">
        <v>325.5</v>
      </c>
      <c r="J195" s="33">
        <v>326.5</v>
      </c>
      <c r="L195" s="33">
        <v>325.25</v>
      </c>
      <c r="M195" s="33">
        <v>325.75</v>
      </c>
      <c r="N195" s="33">
        <v>326.625</v>
      </c>
      <c r="O195" s="33">
        <v>326.25</v>
      </c>
      <c r="P195" s="33">
        <v>322.625</v>
      </c>
      <c r="Q195" s="33">
        <v>326.75</v>
      </c>
      <c r="R195" s="33">
        <v>322.25</v>
      </c>
      <c r="S195" s="33">
        <v>321.625</v>
      </c>
      <c r="T195" s="33">
        <v>321.75</v>
      </c>
      <c r="U195" s="33">
        <v>324.125</v>
      </c>
      <c r="V195" s="33">
        <v>323.375</v>
      </c>
      <c r="W195" s="33">
        <v>322.75</v>
      </c>
      <c r="X195" s="33">
        <v>322.25</v>
      </c>
      <c r="Y195" s="21">
        <f t="shared" si="3"/>
        <v>324.44375000000002</v>
      </c>
    </row>
    <row r="196" spans="1:25" x14ac:dyDescent="0.25">
      <c r="A196">
        <v>980</v>
      </c>
      <c r="B196">
        <v>1</v>
      </c>
      <c r="C196" t="s">
        <v>40</v>
      </c>
      <c r="D196" s="33">
        <v>324.125</v>
      </c>
      <c r="E196" s="33">
        <v>325.875</v>
      </c>
      <c r="F196" s="33">
        <v>323.625</v>
      </c>
      <c r="G196" s="33">
        <v>326.5</v>
      </c>
      <c r="H196" s="33">
        <v>323.875</v>
      </c>
      <c r="I196" s="33">
        <v>324.875</v>
      </c>
      <c r="J196" s="33">
        <v>325.375</v>
      </c>
      <c r="L196" s="33">
        <v>322.375</v>
      </c>
      <c r="M196" s="33">
        <v>322.5</v>
      </c>
      <c r="N196" s="33">
        <v>327.375</v>
      </c>
      <c r="O196" s="33">
        <v>320.625</v>
      </c>
      <c r="P196" s="33">
        <v>321.625</v>
      </c>
      <c r="Q196" s="33">
        <v>321.625</v>
      </c>
      <c r="R196" s="33">
        <v>323.25</v>
      </c>
      <c r="S196" s="33">
        <v>323.625</v>
      </c>
      <c r="T196" s="33">
        <v>324.375</v>
      </c>
      <c r="U196" s="33">
        <v>323.625</v>
      </c>
      <c r="V196" s="33">
        <v>323.5</v>
      </c>
      <c r="W196" s="33">
        <v>322.875</v>
      </c>
      <c r="X196" s="33">
        <v>320.875</v>
      </c>
      <c r="Y196" s="21">
        <f t="shared" si="3"/>
        <v>323.625</v>
      </c>
    </row>
    <row r="197" spans="1:25" x14ac:dyDescent="0.25">
      <c r="A197">
        <v>1000</v>
      </c>
      <c r="B197">
        <v>1</v>
      </c>
      <c r="C197" t="s">
        <v>40</v>
      </c>
      <c r="D197" s="33">
        <v>324.5</v>
      </c>
      <c r="E197" s="33">
        <v>322.75</v>
      </c>
      <c r="F197" s="33">
        <v>322.125</v>
      </c>
      <c r="G197" s="33">
        <v>324.75</v>
      </c>
      <c r="H197" s="33">
        <v>321.875</v>
      </c>
      <c r="I197" s="33">
        <v>322.375</v>
      </c>
      <c r="J197" s="33">
        <v>321.625</v>
      </c>
      <c r="L197" s="33">
        <v>321.5</v>
      </c>
      <c r="M197" s="33">
        <v>322.875</v>
      </c>
      <c r="N197" s="33">
        <v>323.5</v>
      </c>
      <c r="O197" s="33">
        <v>321.25</v>
      </c>
      <c r="P197" s="33">
        <v>319.375</v>
      </c>
      <c r="Q197" s="33">
        <v>320.875</v>
      </c>
      <c r="R197" s="33">
        <v>323.875</v>
      </c>
      <c r="S197" s="33">
        <v>322.125</v>
      </c>
      <c r="T197" s="33">
        <v>320.875</v>
      </c>
      <c r="U197" s="33">
        <v>323.625</v>
      </c>
      <c r="V197" s="33">
        <v>322.625</v>
      </c>
      <c r="W197" s="33">
        <v>323.125</v>
      </c>
      <c r="X197" s="33">
        <v>322.875</v>
      </c>
      <c r="Y197" s="21">
        <f t="shared" si="3"/>
        <v>322.42500000000001</v>
      </c>
    </row>
    <row r="198" spans="1:25" x14ac:dyDescent="0.25">
      <c r="A198">
        <v>1020</v>
      </c>
      <c r="B198">
        <v>1</v>
      </c>
      <c r="C198" t="s">
        <v>40</v>
      </c>
      <c r="D198" s="33">
        <v>322.25</v>
      </c>
      <c r="E198" s="33">
        <v>321.75</v>
      </c>
      <c r="F198" s="33">
        <v>320.25</v>
      </c>
      <c r="G198" s="33">
        <v>322</v>
      </c>
      <c r="H198" s="33">
        <v>321.875</v>
      </c>
      <c r="I198" s="33">
        <v>321.75</v>
      </c>
      <c r="J198" s="33">
        <v>321.375</v>
      </c>
      <c r="L198" s="33">
        <v>322.25</v>
      </c>
      <c r="M198" s="33">
        <v>322.5</v>
      </c>
      <c r="N198" s="33">
        <v>324</v>
      </c>
      <c r="O198" s="33">
        <v>319.75</v>
      </c>
      <c r="P198" s="33">
        <v>321.625</v>
      </c>
      <c r="Q198" s="33">
        <v>321.5</v>
      </c>
      <c r="R198" s="33">
        <v>324.25</v>
      </c>
      <c r="S198" s="33">
        <v>324</v>
      </c>
      <c r="T198" s="33">
        <v>322.125</v>
      </c>
      <c r="U198" s="33">
        <v>321.5</v>
      </c>
      <c r="V198" s="33">
        <v>321.375</v>
      </c>
      <c r="W198" s="33">
        <v>321</v>
      </c>
      <c r="X198" s="33">
        <v>322</v>
      </c>
      <c r="Y198" s="21">
        <f t="shared" si="3"/>
        <v>321.95625000000001</v>
      </c>
    </row>
    <row r="199" spans="1:25" x14ac:dyDescent="0.25">
      <c r="A199">
        <v>1040</v>
      </c>
      <c r="B199">
        <v>1</v>
      </c>
      <c r="C199" t="s">
        <v>40</v>
      </c>
      <c r="D199" s="33">
        <v>321.375</v>
      </c>
      <c r="E199" s="33">
        <v>321.625</v>
      </c>
      <c r="F199" s="33">
        <v>320.25</v>
      </c>
      <c r="G199" s="33">
        <v>320.125</v>
      </c>
      <c r="H199" s="33">
        <v>322.375</v>
      </c>
      <c r="I199" s="33">
        <v>320.625</v>
      </c>
      <c r="J199" s="33">
        <v>320</v>
      </c>
      <c r="L199" s="33">
        <v>321.125</v>
      </c>
      <c r="M199" s="33">
        <v>323.5</v>
      </c>
      <c r="N199" s="33">
        <v>321.75</v>
      </c>
      <c r="O199" s="33">
        <v>326.375</v>
      </c>
      <c r="P199" s="33">
        <v>323.875</v>
      </c>
      <c r="Q199" s="33">
        <v>321.625</v>
      </c>
      <c r="R199" s="33">
        <v>323.125</v>
      </c>
      <c r="S199" s="33">
        <v>322.25</v>
      </c>
      <c r="T199" s="33">
        <v>321.75</v>
      </c>
      <c r="U199" s="33">
        <v>319.875</v>
      </c>
      <c r="V199" s="33">
        <v>318.125</v>
      </c>
      <c r="W199" s="33">
        <v>319.5</v>
      </c>
      <c r="X199" s="33">
        <v>323.375</v>
      </c>
      <c r="Y199" s="21">
        <f t="shared" si="3"/>
        <v>321.63125000000002</v>
      </c>
    </row>
    <row r="200" spans="1:25" x14ac:dyDescent="0.25">
      <c r="A200">
        <v>1060</v>
      </c>
      <c r="B200">
        <v>1</v>
      </c>
      <c r="C200" t="s">
        <v>40</v>
      </c>
      <c r="D200" s="33">
        <v>321.625</v>
      </c>
      <c r="E200" s="33">
        <v>321.375</v>
      </c>
      <c r="F200" s="33">
        <v>318.5</v>
      </c>
      <c r="G200" s="33">
        <v>320.25</v>
      </c>
      <c r="H200" s="33">
        <v>320.875</v>
      </c>
      <c r="I200" s="33">
        <v>324.5</v>
      </c>
      <c r="J200" s="33">
        <v>320.75</v>
      </c>
      <c r="L200" s="33">
        <v>320.25</v>
      </c>
      <c r="M200" s="33">
        <v>319</v>
      </c>
      <c r="N200" s="33">
        <v>320.375</v>
      </c>
      <c r="O200" s="33">
        <v>320.375</v>
      </c>
      <c r="P200" s="33">
        <v>321</v>
      </c>
      <c r="Q200" s="33">
        <v>319.125</v>
      </c>
      <c r="R200" s="33">
        <v>321.5</v>
      </c>
      <c r="S200" s="33">
        <v>320</v>
      </c>
      <c r="T200" s="33">
        <v>321.625</v>
      </c>
      <c r="U200" s="33">
        <v>318.875</v>
      </c>
      <c r="V200" s="33">
        <v>318</v>
      </c>
      <c r="W200" s="33">
        <v>320.875</v>
      </c>
      <c r="X200" s="33">
        <v>318.625</v>
      </c>
      <c r="Y200" s="21">
        <f t="shared" si="3"/>
        <v>320.375</v>
      </c>
    </row>
    <row r="201" spans="1:25" x14ac:dyDescent="0.25">
      <c r="A201">
        <v>1080</v>
      </c>
      <c r="B201">
        <v>1</v>
      </c>
      <c r="C201" t="s">
        <v>40</v>
      </c>
      <c r="D201" s="33">
        <v>321.625</v>
      </c>
      <c r="E201" s="33">
        <v>319.625</v>
      </c>
      <c r="F201" s="33">
        <v>320.375</v>
      </c>
      <c r="G201" s="33">
        <v>320.625</v>
      </c>
      <c r="H201" s="33">
        <v>319.125</v>
      </c>
      <c r="I201" s="33">
        <v>320.375</v>
      </c>
      <c r="J201" s="33">
        <v>318.75</v>
      </c>
      <c r="L201" s="33">
        <v>320</v>
      </c>
      <c r="M201" s="33">
        <v>321.375</v>
      </c>
      <c r="N201" s="33">
        <v>318.625</v>
      </c>
      <c r="O201" s="33">
        <v>318.125</v>
      </c>
      <c r="P201" s="33">
        <v>320.375</v>
      </c>
      <c r="Q201" s="33">
        <v>319.75</v>
      </c>
      <c r="R201" s="33">
        <v>322.5</v>
      </c>
      <c r="S201" s="33">
        <v>321.25</v>
      </c>
      <c r="T201" s="33">
        <v>321.625</v>
      </c>
      <c r="U201" s="33">
        <v>322.5</v>
      </c>
      <c r="V201" s="33">
        <v>319</v>
      </c>
      <c r="W201" s="33">
        <v>321.25</v>
      </c>
      <c r="X201" s="33">
        <v>321.25</v>
      </c>
      <c r="Y201" s="21">
        <f t="shared" si="3"/>
        <v>320.40625</v>
      </c>
    </row>
    <row r="202" spans="1:25" x14ac:dyDescent="0.25">
      <c r="A202">
        <v>1100</v>
      </c>
      <c r="B202">
        <v>1</v>
      </c>
      <c r="C202" t="s">
        <v>40</v>
      </c>
      <c r="D202" s="33">
        <v>321.375</v>
      </c>
      <c r="E202" s="33">
        <v>320.625</v>
      </c>
      <c r="F202" s="33">
        <v>318.5</v>
      </c>
      <c r="G202" s="33">
        <v>319.375</v>
      </c>
      <c r="H202" s="33">
        <v>320.25</v>
      </c>
      <c r="I202" s="33">
        <v>321.125</v>
      </c>
      <c r="J202" s="33">
        <v>321</v>
      </c>
      <c r="L202" s="33">
        <v>317.5</v>
      </c>
      <c r="M202" s="33">
        <v>319.75</v>
      </c>
      <c r="N202" s="33">
        <v>319.75</v>
      </c>
      <c r="O202" s="33">
        <v>319</v>
      </c>
      <c r="P202" s="33">
        <v>317.875</v>
      </c>
      <c r="Q202" s="33">
        <v>321.375</v>
      </c>
      <c r="R202" s="33">
        <v>321.75</v>
      </c>
      <c r="S202" s="33">
        <v>320.625</v>
      </c>
      <c r="T202" s="33">
        <v>320</v>
      </c>
      <c r="U202" s="33">
        <v>318.875</v>
      </c>
      <c r="V202" s="33">
        <v>320.25</v>
      </c>
      <c r="W202" s="33">
        <v>320.125</v>
      </c>
      <c r="X202" s="33">
        <v>318</v>
      </c>
      <c r="Y202" s="21">
        <f t="shared" si="3"/>
        <v>319.85624999999999</v>
      </c>
    </row>
    <row r="203" spans="1:25" x14ac:dyDescent="0.25">
      <c r="A203">
        <v>1120</v>
      </c>
      <c r="B203">
        <v>1</v>
      </c>
      <c r="C203" t="s">
        <v>40</v>
      </c>
      <c r="D203" s="33">
        <v>316.875</v>
      </c>
      <c r="E203" s="33">
        <v>317.625</v>
      </c>
      <c r="F203" s="33">
        <v>319.875</v>
      </c>
      <c r="G203" s="33">
        <v>319.875</v>
      </c>
      <c r="H203" s="33">
        <v>318.25</v>
      </c>
      <c r="I203" s="33">
        <v>320.375</v>
      </c>
      <c r="J203" s="33">
        <v>320.375</v>
      </c>
      <c r="L203" s="33">
        <v>321.375</v>
      </c>
      <c r="M203" s="33">
        <v>320</v>
      </c>
      <c r="N203" s="33">
        <v>319.375</v>
      </c>
      <c r="O203" s="33">
        <v>321</v>
      </c>
      <c r="P203" s="33">
        <v>320.75</v>
      </c>
      <c r="Q203" s="33">
        <v>320.25</v>
      </c>
      <c r="R203" s="33">
        <v>318.75</v>
      </c>
      <c r="S203" s="33">
        <v>318.5</v>
      </c>
      <c r="T203" s="33">
        <v>318.625</v>
      </c>
      <c r="U203" s="33">
        <v>320.25</v>
      </c>
      <c r="V203" s="33">
        <v>321.625</v>
      </c>
      <c r="W203" s="33">
        <v>321.375</v>
      </c>
      <c r="X203" s="33">
        <v>319.625</v>
      </c>
      <c r="Y203" s="21">
        <f t="shared" si="3"/>
        <v>319.73750000000001</v>
      </c>
    </row>
    <row r="204" spans="1:25" x14ac:dyDescent="0.25">
      <c r="A204">
        <v>1140</v>
      </c>
      <c r="B204">
        <v>1</v>
      </c>
      <c r="C204" t="s">
        <v>40</v>
      </c>
      <c r="D204" s="33">
        <v>319.625</v>
      </c>
      <c r="E204" s="33">
        <v>321.25</v>
      </c>
      <c r="F204" s="33">
        <v>319.875</v>
      </c>
      <c r="G204" s="33">
        <v>320.875</v>
      </c>
      <c r="H204" s="33">
        <v>319</v>
      </c>
      <c r="I204" s="33">
        <v>317.125</v>
      </c>
      <c r="J204" s="33">
        <v>320.625</v>
      </c>
      <c r="L204" s="33">
        <v>321.875</v>
      </c>
      <c r="M204" s="33">
        <v>320.25</v>
      </c>
      <c r="N204" s="33">
        <v>322.25</v>
      </c>
      <c r="O204" s="33">
        <v>318.75</v>
      </c>
      <c r="P204" s="33">
        <v>319.875</v>
      </c>
      <c r="Q204" s="33">
        <v>321.5</v>
      </c>
      <c r="R204" s="33">
        <v>323.5</v>
      </c>
      <c r="S204" s="33">
        <v>318.625</v>
      </c>
      <c r="T204" s="33">
        <v>321.75</v>
      </c>
      <c r="U204" s="33">
        <v>319.5</v>
      </c>
      <c r="V204" s="33">
        <v>321.375</v>
      </c>
      <c r="W204" s="33">
        <v>320</v>
      </c>
      <c r="X204" s="33">
        <v>316.25</v>
      </c>
      <c r="Y204" s="21">
        <f t="shared" si="3"/>
        <v>320.19375000000002</v>
      </c>
    </row>
    <row r="205" spans="1:25" x14ac:dyDescent="0.25">
      <c r="A205">
        <v>1160</v>
      </c>
      <c r="B205">
        <v>1</v>
      </c>
      <c r="C205" t="s">
        <v>40</v>
      </c>
      <c r="D205" s="33">
        <v>319.625</v>
      </c>
      <c r="E205" s="33">
        <v>321</v>
      </c>
      <c r="F205" s="33">
        <v>319.625</v>
      </c>
      <c r="G205" s="33">
        <v>320.5</v>
      </c>
      <c r="H205" s="33">
        <v>322.25</v>
      </c>
      <c r="I205" s="33">
        <v>322.875</v>
      </c>
      <c r="J205" s="33">
        <v>320.375</v>
      </c>
      <c r="L205" s="33">
        <v>320.5</v>
      </c>
      <c r="M205" s="33">
        <v>317.875</v>
      </c>
      <c r="N205" s="33">
        <v>322.25</v>
      </c>
      <c r="O205" s="33">
        <v>319.75</v>
      </c>
      <c r="P205" s="33">
        <v>318.25</v>
      </c>
      <c r="Q205" s="33">
        <v>318.125</v>
      </c>
      <c r="R205" s="33">
        <v>319</v>
      </c>
      <c r="S205" s="33">
        <v>318.25</v>
      </c>
      <c r="T205" s="33">
        <v>318.375</v>
      </c>
      <c r="U205" s="33">
        <v>320.75</v>
      </c>
      <c r="V205" s="33">
        <v>320.5</v>
      </c>
      <c r="W205" s="33">
        <v>318.625</v>
      </c>
      <c r="X205" s="33">
        <v>320.125</v>
      </c>
      <c r="Y205" s="21">
        <f t="shared" si="3"/>
        <v>319.93124999999998</v>
      </c>
    </row>
    <row r="206" spans="1:25" x14ac:dyDescent="0.25">
      <c r="A206">
        <v>1180</v>
      </c>
      <c r="B206">
        <v>1</v>
      </c>
      <c r="C206" t="s">
        <v>40</v>
      </c>
      <c r="D206" s="33">
        <v>322.5</v>
      </c>
      <c r="E206" s="33">
        <v>317.375</v>
      </c>
      <c r="F206" s="33">
        <v>323</v>
      </c>
      <c r="G206" s="33">
        <v>320.5</v>
      </c>
      <c r="H206" s="33">
        <v>320.875</v>
      </c>
      <c r="I206" s="33">
        <v>315.625</v>
      </c>
      <c r="J206" s="33">
        <v>321</v>
      </c>
      <c r="L206" s="33">
        <v>320.875</v>
      </c>
      <c r="M206" s="33">
        <v>322.125</v>
      </c>
      <c r="N206" s="33">
        <v>321.625</v>
      </c>
      <c r="O206" s="33">
        <v>321.5</v>
      </c>
      <c r="P206" s="33">
        <v>321.75</v>
      </c>
      <c r="Q206" s="33">
        <v>320.625</v>
      </c>
      <c r="R206" s="33">
        <v>318.875</v>
      </c>
      <c r="S206" s="33">
        <v>317.75</v>
      </c>
      <c r="T206" s="33">
        <v>318.375</v>
      </c>
      <c r="U206" s="33">
        <v>317.125</v>
      </c>
      <c r="V206" s="33">
        <v>317.25</v>
      </c>
      <c r="W206" s="33">
        <v>320.125</v>
      </c>
      <c r="X206" s="33">
        <v>320.875</v>
      </c>
      <c r="Y206" s="21">
        <f t="shared" si="3"/>
        <v>319.98750000000001</v>
      </c>
    </row>
    <row r="207" spans="1:25" x14ac:dyDescent="0.25">
      <c r="A207">
        <v>1200</v>
      </c>
      <c r="B207">
        <v>1</v>
      </c>
      <c r="C207" t="s">
        <v>40</v>
      </c>
      <c r="D207" s="33">
        <v>320.875</v>
      </c>
      <c r="E207" s="33">
        <v>319.75</v>
      </c>
      <c r="F207" s="33">
        <v>322.625</v>
      </c>
      <c r="G207" s="33">
        <v>320.5</v>
      </c>
      <c r="H207" s="33">
        <v>318.625</v>
      </c>
      <c r="I207" s="33">
        <v>316.75</v>
      </c>
      <c r="J207" s="33">
        <v>317</v>
      </c>
      <c r="L207" s="33">
        <v>314.5</v>
      </c>
      <c r="M207" s="33">
        <v>319.25</v>
      </c>
      <c r="N207" s="33">
        <v>319.125</v>
      </c>
      <c r="O207" s="33">
        <v>318.625</v>
      </c>
      <c r="P207" s="33">
        <v>318.625</v>
      </c>
      <c r="Q207" s="33">
        <v>320.25</v>
      </c>
      <c r="R207" s="33">
        <v>316</v>
      </c>
      <c r="S207" s="33">
        <v>317.375</v>
      </c>
      <c r="T207" s="33">
        <v>319</v>
      </c>
      <c r="U207" s="33">
        <v>321.375</v>
      </c>
      <c r="V207" s="33">
        <v>320.375</v>
      </c>
      <c r="W207" s="33">
        <v>316.875</v>
      </c>
      <c r="X207" s="33">
        <v>318.25</v>
      </c>
      <c r="Y207" s="21">
        <f t="shared" si="3"/>
        <v>318.78750000000002</v>
      </c>
    </row>
    <row r="208" spans="1:25" x14ac:dyDescent="0.25">
      <c r="A208">
        <v>1220</v>
      </c>
      <c r="B208">
        <v>1</v>
      </c>
      <c r="C208" t="s">
        <v>40</v>
      </c>
      <c r="D208" s="33">
        <v>321.125</v>
      </c>
      <c r="E208" s="33">
        <v>320.125</v>
      </c>
      <c r="F208" s="33">
        <v>321.75</v>
      </c>
      <c r="G208" s="33">
        <v>316.875</v>
      </c>
      <c r="H208" s="33">
        <v>319.5</v>
      </c>
      <c r="I208" s="33">
        <v>322.375</v>
      </c>
      <c r="J208" s="33">
        <v>319.375</v>
      </c>
      <c r="L208" s="33">
        <v>316.75</v>
      </c>
      <c r="M208" s="33">
        <v>319.125</v>
      </c>
      <c r="N208" s="33">
        <v>322.125</v>
      </c>
      <c r="O208" s="33">
        <v>318.5</v>
      </c>
      <c r="P208" s="33">
        <v>319.75</v>
      </c>
      <c r="Q208" s="33">
        <v>317.125</v>
      </c>
      <c r="R208" s="33">
        <v>320.875</v>
      </c>
      <c r="S208" s="33">
        <v>317.125</v>
      </c>
      <c r="T208" s="33">
        <v>319.375</v>
      </c>
      <c r="U208" s="33">
        <v>316.875</v>
      </c>
      <c r="V208" s="33">
        <v>320.625</v>
      </c>
      <c r="W208" s="33">
        <v>320.25</v>
      </c>
      <c r="X208" s="33">
        <v>319.375</v>
      </c>
      <c r="Y208" s="21">
        <f t="shared" si="3"/>
        <v>319.45</v>
      </c>
    </row>
    <row r="209" spans="1:25" x14ac:dyDescent="0.25">
      <c r="A209">
        <v>1240</v>
      </c>
      <c r="B209">
        <v>1</v>
      </c>
      <c r="C209" t="s">
        <v>40</v>
      </c>
      <c r="D209" s="33">
        <v>323.875</v>
      </c>
      <c r="E209" s="33">
        <v>320</v>
      </c>
      <c r="F209" s="33">
        <v>318.25</v>
      </c>
      <c r="G209" s="33">
        <v>318.25</v>
      </c>
      <c r="H209" s="33">
        <v>319.125</v>
      </c>
      <c r="I209" s="33">
        <v>319.875</v>
      </c>
      <c r="J209" s="33">
        <v>317.25</v>
      </c>
      <c r="L209" s="33">
        <v>318.5</v>
      </c>
      <c r="M209" s="33">
        <v>318</v>
      </c>
      <c r="N209" s="33">
        <v>321.75</v>
      </c>
      <c r="O209" s="33">
        <v>317.75</v>
      </c>
      <c r="P209" s="33">
        <v>320.25</v>
      </c>
      <c r="Q209" s="33">
        <v>321.625</v>
      </c>
      <c r="R209" s="33">
        <v>319.875</v>
      </c>
      <c r="S209" s="33">
        <v>319.25</v>
      </c>
      <c r="T209" s="33">
        <v>318.375</v>
      </c>
      <c r="U209" s="33">
        <v>318</v>
      </c>
      <c r="V209" s="33">
        <v>317.5</v>
      </c>
      <c r="W209" s="33">
        <v>316.75</v>
      </c>
      <c r="X209" s="33">
        <v>316.625</v>
      </c>
      <c r="Y209" s="21">
        <f t="shared" si="3"/>
        <v>319.04374999999999</v>
      </c>
    </row>
    <row r="210" spans="1:25" x14ac:dyDescent="0.25">
      <c r="A210">
        <v>1260</v>
      </c>
      <c r="B210">
        <v>1</v>
      </c>
      <c r="C210" t="s">
        <v>40</v>
      </c>
      <c r="D210" s="33">
        <v>317.625</v>
      </c>
      <c r="E210" s="33">
        <v>320.125</v>
      </c>
      <c r="F210" s="33">
        <v>316.875</v>
      </c>
      <c r="G210" s="33">
        <v>319.375</v>
      </c>
      <c r="H210" s="33">
        <v>317.75</v>
      </c>
      <c r="I210" s="33">
        <v>319.25</v>
      </c>
      <c r="J210" s="33">
        <v>319.625</v>
      </c>
      <c r="L210" s="33">
        <v>319.125</v>
      </c>
      <c r="M210" s="33">
        <v>317.625</v>
      </c>
      <c r="N210" s="33">
        <v>316</v>
      </c>
      <c r="O210" s="33">
        <v>318</v>
      </c>
      <c r="P210" s="33">
        <v>317.125</v>
      </c>
      <c r="Q210" s="33">
        <v>318.875</v>
      </c>
      <c r="R210" s="33">
        <v>316.375</v>
      </c>
      <c r="S210" s="33">
        <v>318.125</v>
      </c>
      <c r="T210" s="33">
        <v>316.875</v>
      </c>
      <c r="U210" s="33">
        <v>315.75</v>
      </c>
      <c r="V210" s="33">
        <v>319.375</v>
      </c>
      <c r="W210" s="33">
        <v>318.125</v>
      </c>
      <c r="X210" s="33">
        <v>316.5</v>
      </c>
      <c r="Y210" s="21">
        <f t="shared" si="3"/>
        <v>317.92500000000001</v>
      </c>
    </row>
    <row r="211" spans="1:25" x14ac:dyDescent="0.25">
      <c r="A211">
        <v>1280</v>
      </c>
      <c r="B211">
        <v>1</v>
      </c>
      <c r="C211" t="s">
        <v>40</v>
      </c>
      <c r="D211" s="33">
        <v>318.375</v>
      </c>
      <c r="E211" s="33">
        <v>322</v>
      </c>
      <c r="F211" s="33">
        <v>319.25</v>
      </c>
      <c r="G211" s="33">
        <v>318.125</v>
      </c>
      <c r="H211" s="33">
        <v>319.25</v>
      </c>
      <c r="I211" s="33">
        <v>319.5</v>
      </c>
      <c r="J211" s="33">
        <v>317.75</v>
      </c>
      <c r="L211" s="33">
        <v>317.25</v>
      </c>
      <c r="M211" s="33">
        <v>320</v>
      </c>
      <c r="N211" s="33">
        <v>319.875</v>
      </c>
      <c r="O211" s="33">
        <v>317.625</v>
      </c>
      <c r="P211" s="33">
        <v>315.875</v>
      </c>
      <c r="Q211" s="33">
        <v>315.875</v>
      </c>
      <c r="R211" s="33">
        <v>318.625</v>
      </c>
      <c r="S211" s="33">
        <v>317.375</v>
      </c>
      <c r="T211" s="33">
        <v>319</v>
      </c>
      <c r="U211" s="33">
        <v>320</v>
      </c>
      <c r="V211" s="33">
        <v>318.5</v>
      </c>
      <c r="W211" s="33">
        <v>315.125</v>
      </c>
      <c r="X211" s="33">
        <v>315.75</v>
      </c>
      <c r="Y211" s="21">
        <f t="shared" si="3"/>
        <v>318.25625000000002</v>
      </c>
    </row>
    <row r="212" spans="1:25" x14ac:dyDescent="0.25">
      <c r="A212">
        <v>1300</v>
      </c>
      <c r="B212">
        <v>1</v>
      </c>
      <c r="C212" t="s">
        <v>40</v>
      </c>
      <c r="D212" s="33">
        <v>318.625</v>
      </c>
      <c r="E212" s="33">
        <v>321.375</v>
      </c>
      <c r="F212" s="33">
        <v>320.5</v>
      </c>
      <c r="G212" s="33">
        <v>321.125</v>
      </c>
      <c r="H212" s="33">
        <v>318.625</v>
      </c>
      <c r="I212" s="33">
        <v>319.25</v>
      </c>
      <c r="J212" s="33">
        <v>317.625</v>
      </c>
      <c r="L212" s="33">
        <v>318.25</v>
      </c>
      <c r="M212" s="33">
        <v>319.875</v>
      </c>
      <c r="N212" s="33">
        <v>318</v>
      </c>
      <c r="O212" s="33">
        <v>317.875</v>
      </c>
      <c r="P212" s="33">
        <v>318.25</v>
      </c>
      <c r="Q212" s="33">
        <v>316.625</v>
      </c>
      <c r="R212" s="33">
        <v>317.375</v>
      </c>
      <c r="S212" s="33">
        <v>319.125</v>
      </c>
      <c r="T212" s="33">
        <v>317.75</v>
      </c>
      <c r="U212" s="33">
        <v>318.25</v>
      </c>
      <c r="V212" s="33">
        <v>317.875</v>
      </c>
      <c r="W212" s="33">
        <v>316.625</v>
      </c>
      <c r="X212" s="33">
        <v>318.25</v>
      </c>
      <c r="Y212" s="21">
        <f t="shared" si="3"/>
        <v>318.5625</v>
      </c>
    </row>
    <row r="213" spans="1:25" x14ac:dyDescent="0.25">
      <c r="A213">
        <v>1320</v>
      </c>
      <c r="B213">
        <v>1</v>
      </c>
      <c r="C213" t="s">
        <v>40</v>
      </c>
      <c r="D213" s="33">
        <v>317</v>
      </c>
      <c r="E213" s="33">
        <v>318.625</v>
      </c>
      <c r="F213" s="33">
        <v>318.875</v>
      </c>
      <c r="G213" s="33">
        <v>320</v>
      </c>
      <c r="H213" s="33">
        <v>315.75</v>
      </c>
      <c r="I213" s="33">
        <v>318.5</v>
      </c>
      <c r="J213" s="33">
        <v>318.125</v>
      </c>
      <c r="L213" s="33">
        <v>318.5</v>
      </c>
      <c r="M213" s="33">
        <v>315.5</v>
      </c>
      <c r="N213" s="33">
        <v>318.5</v>
      </c>
      <c r="O213" s="33">
        <v>319.375</v>
      </c>
      <c r="P213" s="33">
        <v>317.75</v>
      </c>
      <c r="Q213" s="33">
        <v>316.75</v>
      </c>
      <c r="R213" s="33">
        <v>317.625</v>
      </c>
      <c r="S213" s="33">
        <v>316.625</v>
      </c>
      <c r="T213" s="33">
        <v>317.625</v>
      </c>
      <c r="U213" s="33">
        <v>318.375</v>
      </c>
      <c r="V213" s="33">
        <v>316.625</v>
      </c>
      <c r="W213" s="33">
        <v>316</v>
      </c>
      <c r="X213" s="33">
        <v>314.875</v>
      </c>
      <c r="Y213" s="21">
        <f t="shared" si="3"/>
        <v>317.55</v>
      </c>
    </row>
    <row r="214" spans="1:25" x14ac:dyDescent="0.25">
      <c r="A214">
        <v>1340</v>
      </c>
      <c r="B214">
        <v>1</v>
      </c>
      <c r="C214" t="s">
        <v>40</v>
      </c>
      <c r="D214" s="33">
        <v>316.875</v>
      </c>
      <c r="E214" s="33">
        <v>315.25</v>
      </c>
      <c r="F214" s="33">
        <v>318.875</v>
      </c>
      <c r="G214" s="33">
        <v>317.125</v>
      </c>
      <c r="H214" s="33">
        <v>316.125</v>
      </c>
      <c r="I214" s="33">
        <v>316.875</v>
      </c>
      <c r="J214" s="33">
        <v>317.375</v>
      </c>
      <c r="L214" s="33">
        <v>316.625</v>
      </c>
      <c r="M214" s="33">
        <v>318.25</v>
      </c>
      <c r="N214" s="33">
        <v>319.375</v>
      </c>
      <c r="O214" s="33">
        <v>318</v>
      </c>
      <c r="P214" s="33">
        <v>318.375</v>
      </c>
      <c r="Q214" s="33">
        <v>318.125</v>
      </c>
      <c r="R214" s="33">
        <v>321.375</v>
      </c>
      <c r="S214" s="33">
        <v>319</v>
      </c>
      <c r="T214" s="33">
        <v>317.875</v>
      </c>
      <c r="U214" s="33">
        <v>318.25</v>
      </c>
      <c r="V214" s="33">
        <v>318.25</v>
      </c>
      <c r="W214" s="33">
        <v>318.125</v>
      </c>
      <c r="X214" s="33">
        <v>317.375</v>
      </c>
      <c r="Y214" s="21">
        <f t="shared" si="3"/>
        <v>317.875</v>
      </c>
    </row>
    <row r="215" spans="1:25" x14ac:dyDescent="0.25">
      <c r="A215">
        <v>1360</v>
      </c>
      <c r="B215">
        <v>1</v>
      </c>
      <c r="C215" t="s">
        <v>40</v>
      </c>
      <c r="D215" s="33">
        <v>320.5</v>
      </c>
      <c r="E215" s="33">
        <v>319</v>
      </c>
      <c r="F215" s="33">
        <v>321.25</v>
      </c>
      <c r="G215" s="33">
        <v>319.75</v>
      </c>
      <c r="H215" s="33">
        <v>318.125</v>
      </c>
      <c r="I215" s="33">
        <v>320</v>
      </c>
      <c r="J215" s="33">
        <v>320</v>
      </c>
      <c r="L215" s="33">
        <v>317.125</v>
      </c>
      <c r="M215" s="33">
        <v>319.375</v>
      </c>
      <c r="N215" s="33">
        <v>316.875</v>
      </c>
      <c r="O215" s="33">
        <v>316.875</v>
      </c>
      <c r="P215" s="33">
        <v>318.375</v>
      </c>
      <c r="Q215" s="33">
        <v>316.25</v>
      </c>
      <c r="R215" s="33">
        <v>313.875</v>
      </c>
      <c r="S215" s="33">
        <v>314.5</v>
      </c>
      <c r="T215" s="33">
        <v>316.5</v>
      </c>
      <c r="U215" s="33">
        <v>315.875</v>
      </c>
      <c r="V215" s="33">
        <v>319.625</v>
      </c>
      <c r="W215" s="33">
        <v>317.75</v>
      </c>
      <c r="X215" s="33">
        <v>316</v>
      </c>
      <c r="Y215" s="21">
        <f t="shared" si="3"/>
        <v>317.88125000000002</v>
      </c>
    </row>
    <row r="216" spans="1:25" x14ac:dyDescent="0.25">
      <c r="A216">
        <v>1380</v>
      </c>
      <c r="B216">
        <v>1</v>
      </c>
      <c r="C216" t="s">
        <v>40</v>
      </c>
      <c r="D216" s="33">
        <v>318.125</v>
      </c>
      <c r="E216" s="33">
        <v>319.875</v>
      </c>
      <c r="F216" s="33">
        <v>318.375</v>
      </c>
      <c r="G216" s="33">
        <v>320.25</v>
      </c>
      <c r="H216" s="33">
        <v>317</v>
      </c>
      <c r="I216" s="33">
        <v>319.375</v>
      </c>
      <c r="J216" s="33">
        <v>319.125</v>
      </c>
      <c r="L216" s="33">
        <v>318.75</v>
      </c>
      <c r="M216" s="33">
        <v>317</v>
      </c>
      <c r="N216" s="33">
        <v>317.875</v>
      </c>
      <c r="O216" s="33">
        <v>315.5</v>
      </c>
      <c r="P216" s="33">
        <v>319.875</v>
      </c>
      <c r="Q216" s="33">
        <v>318.5</v>
      </c>
      <c r="R216" s="33">
        <v>317.375</v>
      </c>
      <c r="S216" s="33">
        <v>316.25</v>
      </c>
      <c r="T216" s="33">
        <v>318.375</v>
      </c>
      <c r="U216" s="33">
        <v>316.875</v>
      </c>
      <c r="V216" s="33">
        <v>315.75</v>
      </c>
      <c r="W216" s="33">
        <v>316.375</v>
      </c>
      <c r="X216" s="33">
        <v>315.5</v>
      </c>
      <c r="Y216" s="21">
        <f t="shared" si="3"/>
        <v>317.80624999999998</v>
      </c>
    </row>
    <row r="217" spans="1:25" x14ac:dyDescent="0.25">
      <c r="A217">
        <v>1400</v>
      </c>
      <c r="B217">
        <v>1</v>
      </c>
      <c r="C217" t="s">
        <v>40</v>
      </c>
      <c r="D217" s="33">
        <v>319.5</v>
      </c>
      <c r="E217" s="33">
        <v>319.375</v>
      </c>
      <c r="F217" s="33">
        <v>320.875</v>
      </c>
      <c r="G217" s="33">
        <v>319.625</v>
      </c>
      <c r="H217" s="33">
        <v>316.5</v>
      </c>
      <c r="I217" s="33">
        <v>318.875</v>
      </c>
      <c r="J217" s="33">
        <v>317.75</v>
      </c>
      <c r="L217" s="33">
        <v>318.375</v>
      </c>
      <c r="M217" s="33">
        <v>317</v>
      </c>
      <c r="N217" s="33">
        <v>317.875</v>
      </c>
      <c r="O217" s="33">
        <v>319.375</v>
      </c>
      <c r="P217" s="33">
        <v>317.75</v>
      </c>
      <c r="Q217" s="33">
        <v>318.75</v>
      </c>
      <c r="R217" s="33">
        <v>319.125</v>
      </c>
      <c r="S217" s="33">
        <v>318.625</v>
      </c>
      <c r="T217" s="33">
        <v>319</v>
      </c>
      <c r="U217" s="33">
        <v>315.25</v>
      </c>
      <c r="V217" s="33">
        <v>318.25</v>
      </c>
      <c r="W217" s="33">
        <v>316.625</v>
      </c>
      <c r="X217" s="33">
        <v>315.25</v>
      </c>
      <c r="Y217" s="21">
        <f t="shared" si="3"/>
        <v>318.1875</v>
      </c>
    </row>
    <row r="218" spans="1:25" x14ac:dyDescent="0.25">
      <c r="A218">
        <v>1420</v>
      </c>
      <c r="B218">
        <v>1</v>
      </c>
      <c r="C218" t="s">
        <v>40</v>
      </c>
      <c r="D218" s="33">
        <v>320.375</v>
      </c>
      <c r="E218" s="33">
        <v>317.875</v>
      </c>
      <c r="F218" s="33">
        <v>319.75</v>
      </c>
      <c r="G218" s="33">
        <v>317.25</v>
      </c>
      <c r="H218" s="33">
        <v>320.125</v>
      </c>
      <c r="I218" s="33">
        <v>318.125</v>
      </c>
      <c r="J218" s="33">
        <v>319.875</v>
      </c>
      <c r="L218" s="33">
        <v>317.125</v>
      </c>
      <c r="M218" s="33">
        <v>320.125</v>
      </c>
      <c r="N218" s="33">
        <v>319.875</v>
      </c>
      <c r="O218" s="33">
        <v>320.25</v>
      </c>
      <c r="P218" s="33">
        <v>316.875</v>
      </c>
      <c r="Q218" s="33">
        <v>317.125</v>
      </c>
      <c r="R218" s="33">
        <v>316.875</v>
      </c>
      <c r="S218" s="33">
        <v>318.625</v>
      </c>
      <c r="T218" s="33">
        <v>315.625</v>
      </c>
      <c r="U218" s="33">
        <v>317.25</v>
      </c>
      <c r="V218" s="33">
        <v>317</v>
      </c>
      <c r="W218" s="33">
        <v>317.75</v>
      </c>
      <c r="X218" s="33">
        <v>318.75</v>
      </c>
      <c r="Y218" s="21">
        <f t="shared" si="3"/>
        <v>318.33125000000001</v>
      </c>
    </row>
    <row r="219" spans="1:25" x14ac:dyDescent="0.25">
      <c r="A219">
        <v>1440</v>
      </c>
      <c r="B219">
        <v>1</v>
      </c>
      <c r="C219" t="s">
        <v>40</v>
      </c>
      <c r="D219" s="33">
        <v>320.25</v>
      </c>
      <c r="E219" s="33">
        <v>320.625</v>
      </c>
      <c r="F219" s="33">
        <v>317.75</v>
      </c>
      <c r="G219" s="33">
        <v>317.625</v>
      </c>
      <c r="H219" s="33">
        <v>319.125</v>
      </c>
      <c r="I219" s="33">
        <v>317.625</v>
      </c>
      <c r="J219" s="33">
        <v>317.75</v>
      </c>
      <c r="L219" s="33">
        <v>319.625</v>
      </c>
      <c r="M219" s="33">
        <v>316.125</v>
      </c>
      <c r="N219" s="33">
        <v>318.5</v>
      </c>
      <c r="O219" s="33">
        <v>315.5</v>
      </c>
      <c r="P219" s="33">
        <v>316.875</v>
      </c>
      <c r="Q219" s="33">
        <v>317.5</v>
      </c>
      <c r="R219" s="33">
        <v>319</v>
      </c>
      <c r="S219" s="33">
        <v>318.625</v>
      </c>
      <c r="T219" s="33">
        <v>318.25</v>
      </c>
      <c r="U219" s="33">
        <v>318.25</v>
      </c>
      <c r="V219" s="33">
        <v>318.25</v>
      </c>
      <c r="W219" s="33">
        <v>317.625</v>
      </c>
      <c r="X219" s="33">
        <v>317.75</v>
      </c>
      <c r="Y219" s="21">
        <f t="shared" si="3"/>
        <v>318.13125000000002</v>
      </c>
    </row>
    <row r="220" spans="1:25" x14ac:dyDescent="0.25">
      <c r="A220">
        <v>1460</v>
      </c>
      <c r="B220">
        <v>1</v>
      </c>
      <c r="C220" t="s">
        <v>40</v>
      </c>
      <c r="D220" s="33">
        <v>319</v>
      </c>
      <c r="E220" s="33">
        <v>318.875</v>
      </c>
      <c r="F220" s="33">
        <v>318</v>
      </c>
      <c r="G220" s="33">
        <v>316.75</v>
      </c>
      <c r="H220" s="33">
        <v>317.625</v>
      </c>
      <c r="I220" s="33">
        <v>320.25</v>
      </c>
      <c r="J220" s="33">
        <v>318.25</v>
      </c>
      <c r="L220" s="33">
        <v>319.75</v>
      </c>
      <c r="M220" s="33">
        <v>319.125</v>
      </c>
      <c r="N220" s="33">
        <v>319.625</v>
      </c>
      <c r="O220" s="33">
        <v>315.625</v>
      </c>
      <c r="P220" s="33">
        <v>316.625</v>
      </c>
      <c r="Q220" s="33">
        <v>318.75</v>
      </c>
      <c r="R220" s="33">
        <v>318.875</v>
      </c>
      <c r="S220" s="33">
        <v>316.75</v>
      </c>
      <c r="T220" s="33">
        <v>317.625</v>
      </c>
      <c r="U220" s="33">
        <v>316.375</v>
      </c>
      <c r="V220" s="33">
        <v>316.375</v>
      </c>
      <c r="W220" s="33">
        <v>317.75</v>
      </c>
      <c r="X220" s="33">
        <v>319</v>
      </c>
      <c r="Y220" s="21">
        <f t="shared" si="3"/>
        <v>318.05</v>
      </c>
    </row>
    <row r="221" spans="1:25" x14ac:dyDescent="0.25">
      <c r="A221">
        <v>1480</v>
      </c>
      <c r="B221">
        <v>1</v>
      </c>
      <c r="C221" t="s">
        <v>40</v>
      </c>
      <c r="D221" s="33">
        <v>318.625</v>
      </c>
      <c r="E221" s="33">
        <v>322.25</v>
      </c>
      <c r="F221" s="33">
        <v>318.375</v>
      </c>
      <c r="G221" s="33">
        <v>316.625</v>
      </c>
      <c r="H221" s="33">
        <v>315.625</v>
      </c>
      <c r="I221" s="33">
        <v>319.375</v>
      </c>
      <c r="J221" s="33">
        <v>320.625</v>
      </c>
      <c r="L221" s="33">
        <v>320.875</v>
      </c>
      <c r="M221" s="33">
        <v>317</v>
      </c>
      <c r="N221" s="33">
        <v>317.375</v>
      </c>
      <c r="O221" s="33">
        <v>317.875</v>
      </c>
      <c r="P221" s="33">
        <v>317.625</v>
      </c>
      <c r="Q221" s="33">
        <v>319</v>
      </c>
      <c r="R221" s="33">
        <v>317</v>
      </c>
      <c r="S221" s="33">
        <v>316.625</v>
      </c>
      <c r="T221" s="33">
        <v>316.125</v>
      </c>
      <c r="U221" s="33">
        <v>317</v>
      </c>
      <c r="V221" s="33">
        <v>318.5</v>
      </c>
      <c r="W221" s="33">
        <v>315.375</v>
      </c>
      <c r="X221" s="33">
        <v>318.125</v>
      </c>
      <c r="Y221" s="21">
        <f t="shared" si="3"/>
        <v>318</v>
      </c>
    </row>
    <row r="222" spans="1:25" x14ac:dyDescent="0.25">
      <c r="A222">
        <v>1500</v>
      </c>
      <c r="B222">
        <v>1</v>
      </c>
      <c r="C222" t="s">
        <v>40</v>
      </c>
      <c r="D222" s="33">
        <v>319.25</v>
      </c>
      <c r="E222" s="33">
        <v>317.875</v>
      </c>
      <c r="F222" s="33">
        <v>318.75</v>
      </c>
      <c r="G222" s="33">
        <v>316.875</v>
      </c>
      <c r="H222" s="33">
        <v>318</v>
      </c>
      <c r="I222" s="33">
        <v>316.25</v>
      </c>
      <c r="J222" s="33">
        <v>318.25</v>
      </c>
      <c r="L222" s="33">
        <v>319.25</v>
      </c>
      <c r="M222" s="33">
        <v>316.875</v>
      </c>
      <c r="N222" s="33">
        <v>316.875</v>
      </c>
      <c r="O222" s="33">
        <v>316.75</v>
      </c>
      <c r="P222" s="33">
        <v>315.125</v>
      </c>
      <c r="Q222" s="33">
        <v>314.625</v>
      </c>
      <c r="R222" s="33">
        <v>319</v>
      </c>
      <c r="S222" s="33">
        <v>316.25</v>
      </c>
      <c r="T222" s="33">
        <v>316.25</v>
      </c>
      <c r="U222" s="33">
        <v>320.5</v>
      </c>
      <c r="V222" s="33">
        <v>315.75</v>
      </c>
      <c r="W222" s="33">
        <v>317.5</v>
      </c>
      <c r="X222" s="33">
        <v>316.375</v>
      </c>
      <c r="Y222" s="21">
        <f t="shared" si="3"/>
        <v>317.31875000000002</v>
      </c>
    </row>
    <row r="223" spans="1:25" x14ac:dyDescent="0.25">
      <c r="A223">
        <v>1520</v>
      </c>
      <c r="B223">
        <v>1</v>
      </c>
      <c r="C223" t="s">
        <v>40</v>
      </c>
      <c r="D223" s="33">
        <v>317.625</v>
      </c>
      <c r="E223" s="33">
        <v>315.5</v>
      </c>
      <c r="F223" s="33">
        <v>315.375</v>
      </c>
      <c r="G223" s="33">
        <v>317.125</v>
      </c>
      <c r="H223" s="33">
        <v>319.625</v>
      </c>
      <c r="I223" s="33">
        <v>316.625</v>
      </c>
      <c r="J223" s="33">
        <v>317.75</v>
      </c>
      <c r="L223" s="33">
        <v>317.75</v>
      </c>
      <c r="M223" s="33">
        <v>317.5</v>
      </c>
      <c r="N223" s="33">
        <v>317.625</v>
      </c>
      <c r="O223" s="33">
        <v>317.125</v>
      </c>
      <c r="P223" s="33">
        <v>318.25</v>
      </c>
      <c r="Q223" s="33">
        <v>318.875</v>
      </c>
      <c r="R223" s="33">
        <v>316.875</v>
      </c>
      <c r="S223" s="33">
        <v>317.75</v>
      </c>
      <c r="T223" s="33">
        <v>316</v>
      </c>
      <c r="U223" s="33">
        <v>315.875</v>
      </c>
      <c r="V223" s="33">
        <v>315.125</v>
      </c>
      <c r="W223" s="33">
        <v>317</v>
      </c>
      <c r="X223" s="33">
        <v>314.5</v>
      </c>
      <c r="Y223" s="21">
        <f t="shared" si="3"/>
        <v>316.99374999999998</v>
      </c>
    </row>
    <row r="224" spans="1:25" x14ac:dyDescent="0.25">
      <c r="A224">
        <v>1540</v>
      </c>
      <c r="B224">
        <v>1</v>
      </c>
      <c r="C224" t="s">
        <v>40</v>
      </c>
      <c r="D224" s="33">
        <v>318.625</v>
      </c>
      <c r="E224" s="33">
        <v>315.125</v>
      </c>
      <c r="F224" s="33">
        <v>316</v>
      </c>
      <c r="G224" s="33">
        <v>315.875</v>
      </c>
      <c r="H224" s="33">
        <v>316.5</v>
      </c>
      <c r="I224" s="33">
        <v>316.25</v>
      </c>
      <c r="J224" s="33">
        <v>317.375</v>
      </c>
      <c r="L224" s="33">
        <v>316.75</v>
      </c>
      <c r="M224" s="33">
        <v>315</v>
      </c>
      <c r="N224" s="33">
        <v>314.875</v>
      </c>
      <c r="O224" s="33">
        <v>315.25</v>
      </c>
      <c r="P224" s="33">
        <v>315.25</v>
      </c>
      <c r="Q224" s="33">
        <v>316.875</v>
      </c>
      <c r="R224" s="33">
        <v>317.5</v>
      </c>
      <c r="S224" s="33">
        <v>316.625</v>
      </c>
      <c r="T224" s="33">
        <v>314.75</v>
      </c>
      <c r="U224" s="33">
        <v>315.875</v>
      </c>
      <c r="V224" s="33">
        <v>315.625</v>
      </c>
      <c r="W224" s="33">
        <v>314.75</v>
      </c>
      <c r="X224" s="33">
        <v>313.625</v>
      </c>
      <c r="Y224" s="21">
        <f t="shared" si="3"/>
        <v>315.92500000000001</v>
      </c>
    </row>
    <row r="225" spans="1:25" x14ac:dyDescent="0.25">
      <c r="A225">
        <v>1560</v>
      </c>
      <c r="B225">
        <v>1</v>
      </c>
      <c r="C225" t="s">
        <v>40</v>
      </c>
      <c r="D225" s="33">
        <v>318.25</v>
      </c>
      <c r="E225" s="33">
        <v>317.875</v>
      </c>
      <c r="F225" s="33">
        <v>316.75</v>
      </c>
      <c r="G225" s="33">
        <v>315</v>
      </c>
      <c r="H225" s="33">
        <v>318.75</v>
      </c>
      <c r="I225" s="33">
        <v>319.25</v>
      </c>
      <c r="J225" s="33">
        <v>316.75</v>
      </c>
      <c r="L225" s="33">
        <v>317.5</v>
      </c>
      <c r="M225" s="33">
        <v>318.5</v>
      </c>
      <c r="N225" s="33">
        <v>319.5</v>
      </c>
      <c r="O225" s="33">
        <v>316.5</v>
      </c>
      <c r="P225" s="33">
        <v>316.25</v>
      </c>
      <c r="Q225" s="33">
        <v>316.75</v>
      </c>
      <c r="R225" s="33">
        <v>314.25</v>
      </c>
      <c r="S225" s="33">
        <v>318.625</v>
      </c>
      <c r="T225" s="33">
        <v>317.375</v>
      </c>
      <c r="U225" s="33">
        <v>316.125</v>
      </c>
      <c r="V225" s="33">
        <v>316</v>
      </c>
      <c r="W225" s="33">
        <v>317.75</v>
      </c>
      <c r="X225" s="33">
        <v>315.125</v>
      </c>
      <c r="Y225" s="21">
        <f t="shared" si="3"/>
        <v>317.14375000000001</v>
      </c>
    </row>
    <row r="226" spans="1:25" x14ac:dyDescent="0.25">
      <c r="A226">
        <v>1580</v>
      </c>
      <c r="B226">
        <v>1</v>
      </c>
      <c r="C226" t="s">
        <v>40</v>
      </c>
      <c r="D226" s="33">
        <v>318</v>
      </c>
      <c r="E226" s="33">
        <v>318.25</v>
      </c>
      <c r="F226" s="33">
        <v>317.375</v>
      </c>
      <c r="G226" s="33">
        <v>316.125</v>
      </c>
      <c r="H226" s="33">
        <v>314.25</v>
      </c>
      <c r="I226" s="33">
        <v>316</v>
      </c>
      <c r="J226" s="33">
        <v>317.625</v>
      </c>
      <c r="L226" s="33">
        <v>318.25</v>
      </c>
      <c r="M226" s="33">
        <v>315.25</v>
      </c>
      <c r="N226" s="33">
        <v>315.75</v>
      </c>
      <c r="O226" s="33">
        <v>316.625</v>
      </c>
      <c r="P226" s="33">
        <v>316.375</v>
      </c>
      <c r="Q226" s="33">
        <v>317</v>
      </c>
      <c r="R226" s="33">
        <v>316.75</v>
      </c>
      <c r="S226" s="33">
        <v>320.75</v>
      </c>
      <c r="T226" s="33">
        <v>318.25</v>
      </c>
      <c r="U226" s="33">
        <v>317</v>
      </c>
      <c r="V226" s="33">
        <v>315.25</v>
      </c>
      <c r="W226" s="33">
        <v>316</v>
      </c>
      <c r="X226" s="33">
        <v>316.75</v>
      </c>
      <c r="Y226" s="21">
        <f t="shared" si="3"/>
        <v>316.88125000000002</v>
      </c>
    </row>
    <row r="227" spans="1:25" x14ac:dyDescent="0.25">
      <c r="A227">
        <v>1600</v>
      </c>
      <c r="B227">
        <v>1</v>
      </c>
      <c r="C227" t="s">
        <v>40</v>
      </c>
      <c r="D227" s="33">
        <v>318.375</v>
      </c>
      <c r="E227" s="33">
        <v>317.125</v>
      </c>
      <c r="F227" s="33">
        <v>315.875</v>
      </c>
      <c r="G227" s="33">
        <v>317.5</v>
      </c>
      <c r="H227" s="33">
        <v>314.75</v>
      </c>
      <c r="I227" s="33">
        <v>315.625</v>
      </c>
      <c r="J227" s="33">
        <v>315.5</v>
      </c>
      <c r="L227" s="33">
        <v>318</v>
      </c>
      <c r="M227" s="33">
        <v>315.625</v>
      </c>
      <c r="N227" s="33">
        <v>315.625</v>
      </c>
      <c r="O227" s="33">
        <v>315.25</v>
      </c>
      <c r="P227" s="33">
        <v>317.125</v>
      </c>
      <c r="Q227" s="33">
        <v>316.625</v>
      </c>
      <c r="R227" s="33">
        <v>317</v>
      </c>
      <c r="S227" s="33">
        <v>315.75</v>
      </c>
      <c r="T227" s="33">
        <v>315.875</v>
      </c>
      <c r="U227" s="33">
        <v>314.75</v>
      </c>
      <c r="V227" s="33">
        <v>313.875</v>
      </c>
      <c r="W227" s="33">
        <v>316.25</v>
      </c>
      <c r="X227" s="33">
        <v>314.25</v>
      </c>
      <c r="Y227" s="21">
        <f t="shared" si="3"/>
        <v>316.03750000000002</v>
      </c>
    </row>
    <row r="228" spans="1:25" x14ac:dyDescent="0.25">
      <c r="A228">
        <v>1620</v>
      </c>
      <c r="B228">
        <v>1</v>
      </c>
      <c r="C228" t="s">
        <v>40</v>
      </c>
      <c r="D228" s="33">
        <v>317.5</v>
      </c>
      <c r="E228" s="33">
        <v>318.25</v>
      </c>
      <c r="F228" s="33">
        <v>318.5</v>
      </c>
      <c r="G228" s="33">
        <v>316.625</v>
      </c>
      <c r="H228" s="33">
        <v>317.25</v>
      </c>
      <c r="I228" s="33">
        <v>317.875</v>
      </c>
      <c r="J228" s="33">
        <v>314.375</v>
      </c>
      <c r="L228" s="33">
        <v>312.5</v>
      </c>
      <c r="M228" s="33">
        <v>317.125</v>
      </c>
      <c r="N228" s="33">
        <v>316.875</v>
      </c>
      <c r="O228" s="33">
        <v>312.875</v>
      </c>
      <c r="P228" s="33">
        <v>314.875</v>
      </c>
      <c r="Q228" s="33">
        <v>313</v>
      </c>
      <c r="R228" s="33">
        <v>317.375</v>
      </c>
      <c r="S228" s="33">
        <v>317</v>
      </c>
      <c r="T228" s="33">
        <v>314.375</v>
      </c>
      <c r="U228" s="33">
        <v>315.875</v>
      </c>
      <c r="V228" s="33">
        <v>318.375</v>
      </c>
      <c r="W228" s="33">
        <v>316.125</v>
      </c>
      <c r="X228" s="33">
        <v>318.375</v>
      </c>
      <c r="Y228" s="21">
        <f t="shared" si="3"/>
        <v>316.25625000000002</v>
      </c>
    </row>
    <row r="229" spans="1:25" x14ac:dyDescent="0.25">
      <c r="A229">
        <v>1640</v>
      </c>
      <c r="B229">
        <v>1</v>
      </c>
      <c r="C229" t="s">
        <v>40</v>
      </c>
      <c r="D229" s="33">
        <v>316.375</v>
      </c>
      <c r="E229" s="33">
        <v>317.125</v>
      </c>
      <c r="F229" s="33">
        <v>317.875</v>
      </c>
      <c r="G229" s="33">
        <v>316</v>
      </c>
      <c r="H229" s="33">
        <v>316.5</v>
      </c>
      <c r="I229" s="33">
        <v>314.5</v>
      </c>
      <c r="J229" s="33">
        <v>316.25</v>
      </c>
      <c r="L229" s="33">
        <v>315.875</v>
      </c>
      <c r="M229" s="33">
        <v>316.5</v>
      </c>
      <c r="N229" s="33">
        <v>318.875</v>
      </c>
      <c r="O229" s="33">
        <v>320.75</v>
      </c>
      <c r="P229" s="33">
        <v>317.75</v>
      </c>
      <c r="Q229" s="33">
        <v>316.625</v>
      </c>
      <c r="R229" s="33">
        <v>314.125</v>
      </c>
      <c r="S229" s="33">
        <v>315.875</v>
      </c>
      <c r="T229" s="33">
        <v>315.625</v>
      </c>
      <c r="U229" s="33">
        <v>314.875</v>
      </c>
      <c r="V229" s="33">
        <v>316.625</v>
      </c>
      <c r="W229" s="33">
        <v>316.25</v>
      </c>
      <c r="X229" s="33">
        <v>315.5</v>
      </c>
      <c r="Y229" s="21">
        <f t="shared" si="3"/>
        <v>316.49374999999998</v>
      </c>
    </row>
    <row r="230" spans="1:25" x14ac:dyDescent="0.25">
      <c r="A230">
        <v>1660</v>
      </c>
      <c r="B230">
        <v>1</v>
      </c>
      <c r="C230" t="s">
        <v>40</v>
      </c>
      <c r="D230" s="33">
        <v>321</v>
      </c>
      <c r="E230" s="33">
        <v>319.25</v>
      </c>
      <c r="F230" s="33">
        <v>318.125</v>
      </c>
      <c r="G230" s="33">
        <v>321.625</v>
      </c>
      <c r="H230" s="33">
        <v>316.625</v>
      </c>
      <c r="I230" s="33">
        <v>321</v>
      </c>
      <c r="J230" s="33">
        <v>318.5</v>
      </c>
      <c r="L230" s="33">
        <v>318.25</v>
      </c>
      <c r="M230" s="33">
        <v>318.875</v>
      </c>
      <c r="N230" s="33">
        <v>320.5</v>
      </c>
      <c r="O230" s="33">
        <v>318.375</v>
      </c>
      <c r="P230" s="33">
        <v>319.25</v>
      </c>
      <c r="Q230" s="33">
        <v>318</v>
      </c>
      <c r="R230" s="33">
        <v>320.875</v>
      </c>
      <c r="S230" s="33">
        <v>316</v>
      </c>
      <c r="T230" s="33">
        <v>317.625</v>
      </c>
      <c r="U230" s="33">
        <v>319.5</v>
      </c>
      <c r="V230" s="33">
        <v>318.875</v>
      </c>
      <c r="W230" s="33">
        <v>316.25</v>
      </c>
      <c r="X230" s="33">
        <v>321.75</v>
      </c>
      <c r="Y230" s="21">
        <f t="shared" si="3"/>
        <v>319.01249999999999</v>
      </c>
    </row>
    <row r="231" spans="1:25" x14ac:dyDescent="0.25">
      <c r="A231">
        <v>1680</v>
      </c>
      <c r="B231">
        <v>1</v>
      </c>
      <c r="C231" t="s">
        <v>40</v>
      </c>
      <c r="D231" s="33">
        <v>321.625</v>
      </c>
      <c r="E231" s="33">
        <v>320.5</v>
      </c>
      <c r="F231" s="33">
        <v>321</v>
      </c>
      <c r="G231" s="33">
        <v>318.25</v>
      </c>
      <c r="H231" s="33">
        <v>318.125</v>
      </c>
      <c r="I231" s="33">
        <v>319.75</v>
      </c>
      <c r="J231" s="33">
        <v>321</v>
      </c>
      <c r="L231" s="33">
        <v>318.75</v>
      </c>
      <c r="M231" s="33">
        <v>320.5</v>
      </c>
      <c r="N231" s="33">
        <v>318.375</v>
      </c>
      <c r="O231" s="33">
        <v>318.5</v>
      </c>
      <c r="P231" s="33">
        <v>318</v>
      </c>
      <c r="Q231" s="33">
        <v>319.125</v>
      </c>
      <c r="R231" s="33">
        <v>322.5</v>
      </c>
      <c r="S231" s="33">
        <v>319.25</v>
      </c>
      <c r="T231" s="33">
        <v>318.75</v>
      </c>
      <c r="U231" s="33">
        <v>318.625</v>
      </c>
      <c r="V231" s="33">
        <v>319.75</v>
      </c>
      <c r="W231" s="33">
        <v>320.25</v>
      </c>
      <c r="X231" s="33">
        <v>318</v>
      </c>
      <c r="Y231" s="21">
        <f t="shared" si="3"/>
        <v>319.53125</v>
      </c>
    </row>
    <row r="232" spans="1:25" x14ac:dyDescent="0.25">
      <c r="A232">
        <v>1700</v>
      </c>
      <c r="B232">
        <v>1</v>
      </c>
      <c r="C232" t="s">
        <v>40</v>
      </c>
      <c r="D232" s="33">
        <v>321.375</v>
      </c>
      <c r="E232" s="33">
        <v>320.375</v>
      </c>
      <c r="F232" s="33">
        <v>322.25</v>
      </c>
      <c r="G232" s="33">
        <v>322.75</v>
      </c>
      <c r="H232" s="33">
        <v>323.25</v>
      </c>
      <c r="I232" s="33">
        <v>322.125</v>
      </c>
      <c r="J232" s="33">
        <v>322.875</v>
      </c>
      <c r="L232" s="33">
        <v>321.125</v>
      </c>
      <c r="M232" s="33">
        <v>321.75</v>
      </c>
      <c r="N232" s="33">
        <v>320.25</v>
      </c>
      <c r="O232" s="33">
        <v>321.125</v>
      </c>
      <c r="P232" s="33">
        <v>320.75</v>
      </c>
      <c r="Q232" s="33">
        <v>320</v>
      </c>
      <c r="R232" s="33">
        <v>320</v>
      </c>
      <c r="S232" s="33">
        <v>320.75</v>
      </c>
      <c r="T232" s="33">
        <v>320.375</v>
      </c>
      <c r="U232" s="33">
        <v>319.25</v>
      </c>
      <c r="V232" s="33">
        <v>320.375</v>
      </c>
      <c r="W232" s="33">
        <v>321.625</v>
      </c>
      <c r="X232" s="33">
        <v>321.625</v>
      </c>
      <c r="Y232" s="21">
        <f t="shared" si="3"/>
        <v>321.2</v>
      </c>
    </row>
    <row r="233" spans="1:25" x14ac:dyDescent="0.25">
      <c r="A233">
        <v>1720</v>
      </c>
      <c r="B233">
        <v>1</v>
      </c>
      <c r="C233" t="s">
        <v>40</v>
      </c>
      <c r="D233" s="33">
        <v>322.25</v>
      </c>
      <c r="E233" s="33">
        <v>325.75</v>
      </c>
      <c r="F233" s="33">
        <v>323.25</v>
      </c>
      <c r="G233" s="33">
        <v>323.875</v>
      </c>
      <c r="H233" s="33">
        <v>323.375</v>
      </c>
      <c r="I233" s="33">
        <v>320.875</v>
      </c>
      <c r="J233" s="33">
        <v>322.5</v>
      </c>
      <c r="L233" s="33">
        <v>322.5</v>
      </c>
      <c r="M233" s="33">
        <v>322.125</v>
      </c>
      <c r="N233" s="33">
        <v>321.875</v>
      </c>
      <c r="O233" s="33">
        <v>322.75</v>
      </c>
      <c r="P233" s="33">
        <v>318.875</v>
      </c>
      <c r="Q233" s="33">
        <v>321.375</v>
      </c>
      <c r="R233" s="33">
        <v>321.75</v>
      </c>
      <c r="S233" s="33">
        <v>321.875</v>
      </c>
      <c r="T233" s="33">
        <v>321.25</v>
      </c>
      <c r="U233" s="33">
        <v>320.875</v>
      </c>
      <c r="V233" s="33">
        <v>319.625</v>
      </c>
      <c r="W233" s="33">
        <v>320</v>
      </c>
      <c r="X233" s="33">
        <v>324</v>
      </c>
      <c r="Y233" s="21">
        <f t="shared" si="3"/>
        <v>322.03750000000002</v>
      </c>
    </row>
    <row r="234" spans="1:25" x14ac:dyDescent="0.25">
      <c r="A234">
        <v>1740</v>
      </c>
      <c r="B234">
        <v>1</v>
      </c>
      <c r="C234" t="s">
        <v>40</v>
      </c>
      <c r="D234" s="33">
        <v>324</v>
      </c>
      <c r="E234" s="33">
        <v>323.5</v>
      </c>
      <c r="F234" s="33">
        <v>324.75</v>
      </c>
      <c r="G234" s="33">
        <v>323.25</v>
      </c>
      <c r="H234" s="33">
        <v>321.75</v>
      </c>
      <c r="I234" s="33">
        <v>324.875</v>
      </c>
      <c r="J234" s="33">
        <v>323</v>
      </c>
      <c r="L234" s="33">
        <v>320.5</v>
      </c>
      <c r="M234" s="33">
        <v>320.375</v>
      </c>
      <c r="N234" s="33">
        <v>323.75</v>
      </c>
      <c r="O234" s="33">
        <v>321.625</v>
      </c>
      <c r="P234" s="33">
        <v>323.25</v>
      </c>
      <c r="Q234" s="33">
        <v>321.125</v>
      </c>
      <c r="R234" s="33">
        <v>321.375</v>
      </c>
      <c r="S234" s="33">
        <v>323.375</v>
      </c>
      <c r="T234" s="33">
        <v>320.75</v>
      </c>
      <c r="U234" s="33">
        <v>323.875</v>
      </c>
      <c r="V234" s="33">
        <v>323.375</v>
      </c>
      <c r="W234" s="33">
        <v>324.5</v>
      </c>
      <c r="X234" s="33">
        <v>324.125</v>
      </c>
      <c r="Y234" s="21">
        <f t="shared" si="3"/>
        <v>322.85624999999999</v>
      </c>
    </row>
    <row r="235" spans="1:25" x14ac:dyDescent="0.25">
      <c r="A235">
        <v>1760</v>
      </c>
      <c r="B235">
        <v>1</v>
      </c>
      <c r="C235" t="s">
        <v>40</v>
      </c>
      <c r="D235" s="33">
        <v>323.625</v>
      </c>
      <c r="E235" s="33">
        <v>323.125</v>
      </c>
      <c r="F235" s="33">
        <v>326.375</v>
      </c>
      <c r="G235" s="33">
        <v>321.75</v>
      </c>
      <c r="H235" s="33">
        <v>324.25</v>
      </c>
      <c r="I235" s="33">
        <v>325.25</v>
      </c>
      <c r="J235" s="33">
        <v>326.875</v>
      </c>
      <c r="L235" s="33">
        <v>321.875</v>
      </c>
      <c r="M235" s="33">
        <v>321.625</v>
      </c>
      <c r="N235" s="33">
        <v>322.375</v>
      </c>
      <c r="O235" s="33">
        <v>322.125</v>
      </c>
      <c r="P235" s="33">
        <v>323</v>
      </c>
      <c r="Q235" s="33">
        <v>323.5</v>
      </c>
      <c r="R235" s="33">
        <v>323.5</v>
      </c>
      <c r="S235" s="33">
        <v>320.375</v>
      </c>
      <c r="T235" s="33">
        <v>323.625</v>
      </c>
      <c r="U235" s="33">
        <v>324.875</v>
      </c>
      <c r="V235" s="33">
        <v>321</v>
      </c>
      <c r="W235" s="33">
        <v>323</v>
      </c>
      <c r="X235" s="33">
        <v>324.125</v>
      </c>
      <c r="Y235" s="21">
        <f t="shared" si="3"/>
        <v>323.3125</v>
      </c>
    </row>
    <row r="236" spans="1:25" x14ac:dyDescent="0.25">
      <c r="A236">
        <v>1780</v>
      </c>
      <c r="B236">
        <v>1</v>
      </c>
      <c r="C236" t="s">
        <v>40</v>
      </c>
      <c r="D236" s="33">
        <v>321.375</v>
      </c>
      <c r="E236" s="33">
        <v>324.5</v>
      </c>
      <c r="F236" s="33">
        <v>321.5</v>
      </c>
      <c r="G236" s="33">
        <v>323.75</v>
      </c>
      <c r="H236" s="33">
        <v>325.5</v>
      </c>
      <c r="I236" s="33">
        <v>321.875</v>
      </c>
      <c r="J236" s="33">
        <v>324.375</v>
      </c>
      <c r="L236" s="33">
        <v>323.375</v>
      </c>
      <c r="M236" s="33">
        <v>321.625</v>
      </c>
      <c r="N236" s="33">
        <v>324.75</v>
      </c>
      <c r="O236" s="33">
        <v>325.125</v>
      </c>
      <c r="P236" s="33">
        <v>321.625</v>
      </c>
      <c r="Q236" s="33">
        <v>321.25</v>
      </c>
      <c r="R236" s="33">
        <v>320.25</v>
      </c>
      <c r="S236" s="33">
        <v>319.5</v>
      </c>
      <c r="T236" s="33">
        <v>318.875</v>
      </c>
      <c r="U236" s="33">
        <v>324</v>
      </c>
      <c r="V236" s="33">
        <v>321.625</v>
      </c>
      <c r="W236" s="33">
        <v>325.375</v>
      </c>
      <c r="X236" s="33">
        <v>320.625</v>
      </c>
      <c r="Y236" s="21">
        <f t="shared" si="3"/>
        <v>322.54374999999999</v>
      </c>
    </row>
    <row r="237" spans="1:25" x14ac:dyDescent="0.25">
      <c r="Y237" s="32">
        <f>AVERAGE(Y181:Y236)</f>
        <v>320.81484375000002</v>
      </c>
    </row>
    <row r="246" spans="1:27" x14ac:dyDescent="0.25">
      <c r="A246">
        <v>90</v>
      </c>
      <c r="B246">
        <v>0</v>
      </c>
      <c r="C246" t="s">
        <v>40</v>
      </c>
      <c r="D246" s="33">
        <v>337.375</v>
      </c>
      <c r="E246" s="33">
        <v>336.75</v>
      </c>
      <c r="F246" s="33">
        <v>336.625</v>
      </c>
      <c r="G246" s="33">
        <v>339.625</v>
      </c>
      <c r="H246" s="33">
        <v>337.125</v>
      </c>
      <c r="I246" s="33">
        <v>337.25</v>
      </c>
      <c r="J246" s="33">
        <v>339.625</v>
      </c>
      <c r="L246" s="33">
        <v>337</v>
      </c>
      <c r="M246" s="33">
        <v>335.875</v>
      </c>
      <c r="N246" s="33">
        <v>332.75</v>
      </c>
      <c r="O246" s="33">
        <v>334.375</v>
      </c>
      <c r="P246" s="33">
        <v>334.125</v>
      </c>
      <c r="Q246" s="33">
        <v>337.375</v>
      </c>
      <c r="R246" s="33">
        <v>337.625</v>
      </c>
      <c r="S246" s="33">
        <v>335.25</v>
      </c>
      <c r="T246" s="33">
        <v>335.25</v>
      </c>
      <c r="U246" s="33">
        <v>336.75</v>
      </c>
      <c r="V246" s="33">
        <v>337.625</v>
      </c>
      <c r="W246" s="33">
        <v>336.875</v>
      </c>
      <c r="X246" s="33">
        <v>335.25</v>
      </c>
      <c r="Y246" s="21">
        <f t="shared" ref="Y246:Y254" si="4">AVERAGE(D246:X246)</f>
        <v>336.52499999999998</v>
      </c>
    </row>
    <row r="247" spans="1:27" x14ac:dyDescent="0.25">
      <c r="A247">
        <v>90</v>
      </c>
      <c r="B247">
        <v>0</v>
      </c>
      <c r="C247" t="s">
        <v>41</v>
      </c>
      <c r="D247" s="33">
        <v>319.375</v>
      </c>
      <c r="E247" s="33">
        <v>319.875</v>
      </c>
      <c r="F247" s="33">
        <v>318.5</v>
      </c>
      <c r="G247" s="33">
        <v>321</v>
      </c>
      <c r="H247" s="33">
        <v>319.25</v>
      </c>
      <c r="I247" s="33">
        <v>317.375</v>
      </c>
      <c r="J247" s="33">
        <v>319.5</v>
      </c>
      <c r="L247" s="33">
        <v>319.375</v>
      </c>
      <c r="M247" s="33">
        <v>319.25</v>
      </c>
      <c r="N247" s="33">
        <v>316.5</v>
      </c>
      <c r="O247" s="33">
        <v>316.5</v>
      </c>
      <c r="P247" s="33">
        <v>318.25</v>
      </c>
      <c r="Q247" s="33">
        <v>319.375</v>
      </c>
      <c r="R247" s="33">
        <v>319.625</v>
      </c>
      <c r="S247" s="33">
        <v>316.875</v>
      </c>
      <c r="T247" s="33">
        <v>317.625</v>
      </c>
      <c r="U247" s="33">
        <v>318.875</v>
      </c>
      <c r="V247" s="33">
        <v>319.375</v>
      </c>
      <c r="W247" s="33">
        <v>318.375</v>
      </c>
      <c r="X247" s="33">
        <v>318.75</v>
      </c>
      <c r="Y247" s="21">
        <f t="shared" si="4"/>
        <v>318.68124999999998</v>
      </c>
    </row>
    <row r="248" spans="1:27" x14ac:dyDescent="0.25">
      <c r="A248">
        <v>90</v>
      </c>
      <c r="B248">
        <v>1</v>
      </c>
      <c r="C248" t="s">
        <v>40</v>
      </c>
      <c r="D248" s="33">
        <v>334.25</v>
      </c>
      <c r="E248" s="33">
        <v>333.75</v>
      </c>
      <c r="F248" s="33">
        <v>336.5</v>
      </c>
      <c r="G248" s="33">
        <v>336.375</v>
      </c>
      <c r="H248" s="33">
        <v>339.125</v>
      </c>
      <c r="I248" s="33">
        <v>336.25</v>
      </c>
      <c r="J248" s="33">
        <v>338.5</v>
      </c>
      <c r="L248" s="33">
        <v>339.75</v>
      </c>
      <c r="M248" s="33">
        <v>336.875</v>
      </c>
      <c r="N248" s="33">
        <v>330.375</v>
      </c>
      <c r="O248" s="33">
        <v>336.375</v>
      </c>
      <c r="P248" s="33">
        <v>334.25</v>
      </c>
      <c r="Q248" s="33">
        <v>335.125</v>
      </c>
      <c r="R248" s="33">
        <v>338.875</v>
      </c>
      <c r="S248" s="33">
        <v>337.375</v>
      </c>
      <c r="T248" s="33">
        <v>335.25</v>
      </c>
      <c r="U248" s="33">
        <v>336</v>
      </c>
      <c r="V248" s="33">
        <v>334.125</v>
      </c>
      <c r="W248" s="33">
        <v>337</v>
      </c>
      <c r="X248" s="33">
        <v>339.125</v>
      </c>
      <c r="Y248" s="21">
        <f t="shared" si="4"/>
        <v>336.26249999999999</v>
      </c>
    </row>
    <row r="249" spans="1:27" x14ac:dyDescent="0.25">
      <c r="A249">
        <v>90</v>
      </c>
      <c r="B249">
        <v>1</v>
      </c>
      <c r="C249" t="s">
        <v>41</v>
      </c>
      <c r="D249" s="33">
        <v>318.25</v>
      </c>
      <c r="E249" s="33">
        <v>317.75</v>
      </c>
      <c r="F249" s="33">
        <v>320.5</v>
      </c>
      <c r="G249" s="33">
        <v>319.875</v>
      </c>
      <c r="H249" s="33">
        <v>319.875</v>
      </c>
      <c r="I249" s="33">
        <v>319.5</v>
      </c>
      <c r="J249" s="33">
        <v>320.875</v>
      </c>
      <c r="L249" s="33">
        <v>320.75</v>
      </c>
      <c r="M249" s="33">
        <v>319.125</v>
      </c>
      <c r="N249" s="33">
        <v>314.5</v>
      </c>
      <c r="O249" s="33">
        <v>317.75</v>
      </c>
      <c r="P249" s="33">
        <v>316.375</v>
      </c>
      <c r="Q249" s="33">
        <v>319.25</v>
      </c>
      <c r="R249" s="33">
        <v>320.125</v>
      </c>
      <c r="S249" s="33">
        <v>320.375</v>
      </c>
      <c r="T249" s="33">
        <v>319.375</v>
      </c>
      <c r="U249" s="33">
        <v>317.625</v>
      </c>
      <c r="V249" s="33">
        <v>314.25</v>
      </c>
      <c r="W249" s="33">
        <v>320.625</v>
      </c>
      <c r="X249" s="33">
        <v>320.125</v>
      </c>
      <c r="Y249" s="21">
        <f t="shared" si="4"/>
        <v>318.84375</v>
      </c>
    </row>
    <row r="251" spans="1:27" x14ac:dyDescent="0.25">
      <c r="A251">
        <v>95</v>
      </c>
      <c r="B251">
        <v>0</v>
      </c>
      <c r="C251" t="s">
        <v>40</v>
      </c>
      <c r="D251" s="33">
        <v>336.25</v>
      </c>
      <c r="E251" s="33">
        <v>337.125</v>
      </c>
      <c r="F251" s="33">
        <v>337</v>
      </c>
      <c r="G251" s="33">
        <v>339.625</v>
      </c>
      <c r="H251" s="33">
        <v>337.625</v>
      </c>
      <c r="I251" s="33">
        <v>340.375</v>
      </c>
      <c r="J251" s="33">
        <v>344.75</v>
      </c>
      <c r="L251" s="33">
        <v>341.5</v>
      </c>
      <c r="M251" s="33">
        <v>336.875</v>
      </c>
      <c r="N251" s="33">
        <v>334.375</v>
      </c>
      <c r="O251" s="33">
        <v>337.5</v>
      </c>
      <c r="P251" s="33">
        <v>338.75</v>
      </c>
      <c r="Q251" s="33">
        <v>336.625</v>
      </c>
      <c r="R251" s="33">
        <v>337.125</v>
      </c>
      <c r="S251" s="33">
        <v>337.5</v>
      </c>
      <c r="T251" s="33">
        <v>334.875</v>
      </c>
      <c r="U251" s="33">
        <v>335</v>
      </c>
      <c r="V251" s="33">
        <v>333.5</v>
      </c>
      <c r="W251" s="33">
        <v>337.5</v>
      </c>
      <c r="X251" s="33">
        <v>337.5</v>
      </c>
      <c r="Y251" s="21">
        <f t="shared" si="4"/>
        <v>337.56875000000002</v>
      </c>
    </row>
    <row r="252" spans="1:27" x14ac:dyDescent="0.25">
      <c r="A252">
        <v>95</v>
      </c>
      <c r="B252">
        <v>0</v>
      </c>
      <c r="C252" t="s">
        <v>41</v>
      </c>
      <c r="D252" s="33">
        <v>319.5</v>
      </c>
      <c r="E252" s="33">
        <v>320.25</v>
      </c>
      <c r="F252" s="33">
        <v>318.625</v>
      </c>
      <c r="G252" s="33">
        <v>319.625</v>
      </c>
      <c r="H252" s="33">
        <v>320.625</v>
      </c>
      <c r="I252" s="33">
        <v>322</v>
      </c>
      <c r="J252" s="33">
        <v>324.375</v>
      </c>
      <c r="L252" s="33">
        <v>324.5</v>
      </c>
      <c r="M252" s="33">
        <v>318.875</v>
      </c>
      <c r="N252" s="33">
        <v>317.375</v>
      </c>
      <c r="O252" s="33">
        <v>320.875</v>
      </c>
      <c r="P252" s="33">
        <v>320.5</v>
      </c>
      <c r="Q252" s="33">
        <v>319.625</v>
      </c>
      <c r="R252" s="33">
        <v>318.375</v>
      </c>
      <c r="S252" s="33">
        <v>320.125</v>
      </c>
      <c r="T252" s="33">
        <v>319.5</v>
      </c>
      <c r="U252" s="33">
        <v>318.625</v>
      </c>
      <c r="V252" s="33">
        <v>317.125</v>
      </c>
      <c r="W252" s="33">
        <v>320.625</v>
      </c>
      <c r="X252" s="33">
        <v>319.5</v>
      </c>
      <c r="Y252" s="21">
        <f t="shared" si="4"/>
        <v>320.03125</v>
      </c>
    </row>
    <row r="253" spans="1:27" x14ac:dyDescent="0.25">
      <c r="A253" s="49">
        <v>95</v>
      </c>
      <c r="B253" s="49">
        <v>1</v>
      </c>
      <c r="C253" s="49" t="s">
        <v>40</v>
      </c>
      <c r="D253" s="50">
        <v>238.875</v>
      </c>
      <c r="E253" s="50">
        <v>243.375</v>
      </c>
      <c r="F253" s="50">
        <v>247.5</v>
      </c>
      <c r="G253" s="50">
        <v>253.25</v>
      </c>
      <c r="H253" s="50">
        <v>254</v>
      </c>
      <c r="I253" s="50">
        <v>264.25</v>
      </c>
      <c r="J253" s="50">
        <v>266.625</v>
      </c>
      <c r="K253" s="50"/>
      <c r="L253" s="50">
        <v>271.625</v>
      </c>
      <c r="M253" s="50">
        <v>267.375</v>
      </c>
      <c r="N253" s="50">
        <v>272.25</v>
      </c>
      <c r="O253" s="50">
        <v>277.625</v>
      </c>
      <c r="P253" s="50">
        <v>280.75</v>
      </c>
      <c r="Q253" s="50">
        <v>283.25</v>
      </c>
      <c r="R253" s="50">
        <v>282</v>
      </c>
      <c r="S253" s="50">
        <v>284.375</v>
      </c>
      <c r="T253" s="50">
        <v>284.5</v>
      </c>
      <c r="U253" s="50">
        <v>285</v>
      </c>
      <c r="V253" s="50">
        <v>293.375</v>
      </c>
      <c r="W253" s="50">
        <v>289.25</v>
      </c>
      <c r="X253" s="50">
        <v>292.875</v>
      </c>
      <c r="Y253" s="21">
        <f t="shared" si="4"/>
        <v>271.60624999999999</v>
      </c>
      <c r="AA253">
        <f>+Y251/Y253</f>
        <v>1.2428607589111076</v>
      </c>
    </row>
    <row r="254" spans="1:27" x14ac:dyDescent="0.25">
      <c r="A254">
        <v>95</v>
      </c>
      <c r="B254">
        <v>1</v>
      </c>
      <c r="C254" t="s">
        <v>41</v>
      </c>
      <c r="D254" s="33">
        <v>321.375</v>
      </c>
      <c r="E254" s="33">
        <v>319.875</v>
      </c>
      <c r="F254" s="33">
        <v>319.875</v>
      </c>
      <c r="G254" s="33">
        <v>321.375</v>
      </c>
      <c r="H254" s="33">
        <v>320.75</v>
      </c>
      <c r="I254" s="33">
        <v>323.875</v>
      </c>
      <c r="J254" s="33">
        <v>324</v>
      </c>
      <c r="L254" s="33">
        <v>323.125</v>
      </c>
      <c r="M254" s="33">
        <v>318.25</v>
      </c>
      <c r="N254" s="33">
        <v>323.25</v>
      </c>
      <c r="O254" s="33">
        <v>322.75</v>
      </c>
      <c r="P254" s="33">
        <v>323.375</v>
      </c>
      <c r="Q254" s="33">
        <v>323.75</v>
      </c>
      <c r="R254" s="33">
        <v>322.375</v>
      </c>
      <c r="S254" s="33">
        <v>320.375</v>
      </c>
      <c r="T254" s="33">
        <v>322.375</v>
      </c>
      <c r="U254" s="33">
        <v>320.375</v>
      </c>
      <c r="V254" s="33">
        <v>325.625</v>
      </c>
      <c r="W254" s="33">
        <v>321.625</v>
      </c>
      <c r="X254" s="33">
        <v>322.625</v>
      </c>
      <c r="Y254" s="21">
        <f t="shared" si="4"/>
        <v>322.05</v>
      </c>
    </row>
    <row r="258" spans="1:27" x14ac:dyDescent="0.25">
      <c r="A258">
        <v>140</v>
      </c>
      <c r="B258">
        <v>0</v>
      </c>
      <c r="C258" t="s">
        <v>40</v>
      </c>
      <c r="D258" s="33">
        <v>329.875</v>
      </c>
      <c r="E258" s="33">
        <v>330.625</v>
      </c>
      <c r="F258" s="33">
        <v>331.875</v>
      </c>
      <c r="G258" s="33">
        <v>332.125</v>
      </c>
      <c r="H258" s="33">
        <v>332.375</v>
      </c>
      <c r="I258" s="33">
        <v>333.875</v>
      </c>
      <c r="J258" s="33">
        <v>331.75</v>
      </c>
      <c r="L258" s="33">
        <v>334.625</v>
      </c>
      <c r="M258" s="33">
        <v>331.875</v>
      </c>
      <c r="N258" s="33">
        <v>331.875</v>
      </c>
      <c r="O258" s="33">
        <v>332.75</v>
      </c>
      <c r="P258" s="33">
        <v>333.125</v>
      </c>
      <c r="Q258" s="33">
        <v>331.375</v>
      </c>
      <c r="R258" s="33">
        <v>333</v>
      </c>
      <c r="S258" s="33">
        <v>331.5</v>
      </c>
      <c r="T258" s="33">
        <v>330.5</v>
      </c>
      <c r="U258" s="33">
        <v>330.625</v>
      </c>
      <c r="V258" s="33">
        <v>330.875</v>
      </c>
      <c r="W258" s="33">
        <v>332.125</v>
      </c>
      <c r="X258" s="33">
        <v>329.75</v>
      </c>
      <c r="Y258" s="21">
        <f t="shared" ref="Y258:Y261" si="5">AVERAGE(D258:X258)</f>
        <v>331.82499999999999</v>
      </c>
    </row>
    <row r="259" spans="1:27" x14ac:dyDescent="0.25">
      <c r="A259">
        <v>140</v>
      </c>
      <c r="B259">
        <v>0</v>
      </c>
      <c r="C259" t="s">
        <v>41</v>
      </c>
      <c r="D259" s="33">
        <v>315.25</v>
      </c>
      <c r="E259" s="33">
        <v>314.25</v>
      </c>
      <c r="F259" s="33">
        <v>314.875</v>
      </c>
      <c r="G259" s="33">
        <v>316.75</v>
      </c>
      <c r="H259" s="33">
        <v>315.375</v>
      </c>
      <c r="I259" s="33">
        <v>317.25</v>
      </c>
      <c r="J259" s="33">
        <v>315.75</v>
      </c>
      <c r="L259" s="33">
        <v>319.25</v>
      </c>
      <c r="M259" s="33">
        <v>313.625</v>
      </c>
      <c r="N259" s="33">
        <v>315.875</v>
      </c>
      <c r="O259" s="33">
        <v>315.5</v>
      </c>
      <c r="P259" s="33">
        <v>314.75</v>
      </c>
      <c r="Q259" s="33">
        <v>314.5</v>
      </c>
      <c r="R259" s="33">
        <v>316.625</v>
      </c>
      <c r="S259" s="33">
        <v>315.625</v>
      </c>
      <c r="T259" s="33">
        <v>314.5</v>
      </c>
      <c r="U259" s="33">
        <v>315.875</v>
      </c>
      <c r="V259" s="33">
        <v>312.625</v>
      </c>
      <c r="W259" s="33">
        <v>315.25</v>
      </c>
      <c r="X259" s="33">
        <v>314.75</v>
      </c>
      <c r="Y259" s="21">
        <f t="shared" si="5"/>
        <v>315.41250000000002</v>
      </c>
    </row>
    <row r="260" spans="1:27" x14ac:dyDescent="0.25">
      <c r="A260" s="49">
        <v>140</v>
      </c>
      <c r="B260" s="49">
        <v>1</v>
      </c>
      <c r="C260" s="49" t="s">
        <v>40</v>
      </c>
      <c r="D260" s="50">
        <v>275.75</v>
      </c>
      <c r="E260" s="50">
        <v>281.875</v>
      </c>
      <c r="F260" s="50">
        <v>285.875</v>
      </c>
      <c r="G260" s="50">
        <v>287.875</v>
      </c>
      <c r="H260" s="50">
        <v>291.75</v>
      </c>
      <c r="I260" s="50">
        <v>290.625</v>
      </c>
      <c r="J260" s="50">
        <v>290.375</v>
      </c>
      <c r="K260" s="50"/>
      <c r="L260" s="50">
        <v>287.25</v>
      </c>
      <c r="M260" s="50">
        <v>290.625</v>
      </c>
      <c r="N260" s="50">
        <v>293.5</v>
      </c>
      <c r="O260" s="50">
        <v>293.625</v>
      </c>
      <c r="P260" s="50">
        <v>294.5</v>
      </c>
      <c r="Q260" s="50">
        <v>297.25</v>
      </c>
      <c r="R260" s="50">
        <v>297.25</v>
      </c>
      <c r="S260" s="50">
        <v>297.625</v>
      </c>
      <c r="T260" s="50">
        <v>301.625</v>
      </c>
      <c r="U260" s="50">
        <v>303.375</v>
      </c>
      <c r="V260" s="50">
        <v>303.625</v>
      </c>
      <c r="W260" s="50">
        <v>307.375</v>
      </c>
      <c r="X260" s="50">
        <v>307.125</v>
      </c>
      <c r="Y260" s="21">
        <f t="shared" si="5"/>
        <v>293.94375000000002</v>
      </c>
      <c r="AA260">
        <f>+Y258/Y260</f>
        <v>1.128872445833599</v>
      </c>
    </row>
    <row r="261" spans="1:27" x14ac:dyDescent="0.25">
      <c r="A261">
        <v>140</v>
      </c>
      <c r="B261">
        <v>1</v>
      </c>
      <c r="C261" t="s">
        <v>41</v>
      </c>
      <c r="D261" s="33">
        <v>317.5</v>
      </c>
      <c r="E261" s="33">
        <v>318.625</v>
      </c>
      <c r="F261" s="33">
        <v>318.25</v>
      </c>
      <c r="G261" s="33">
        <v>317.5</v>
      </c>
      <c r="H261" s="33">
        <v>319.5</v>
      </c>
      <c r="I261" s="33">
        <v>317.875</v>
      </c>
      <c r="J261" s="33">
        <v>318.125</v>
      </c>
      <c r="L261" s="33">
        <v>316.625</v>
      </c>
      <c r="M261" s="33">
        <v>316.125</v>
      </c>
      <c r="N261" s="33">
        <v>317.5</v>
      </c>
      <c r="O261" s="33">
        <v>315.375</v>
      </c>
      <c r="P261" s="33">
        <v>317.875</v>
      </c>
      <c r="Q261" s="33">
        <v>318.25</v>
      </c>
      <c r="R261" s="33">
        <v>315.875</v>
      </c>
      <c r="S261" s="33">
        <v>315.375</v>
      </c>
      <c r="T261" s="33">
        <v>316.5</v>
      </c>
      <c r="U261" s="33">
        <v>317.75</v>
      </c>
      <c r="V261" s="33">
        <v>317.375</v>
      </c>
      <c r="W261" s="33">
        <v>317</v>
      </c>
      <c r="X261" s="33">
        <v>316.875</v>
      </c>
      <c r="Y261" s="21">
        <f t="shared" si="5"/>
        <v>317.29374999999999</v>
      </c>
    </row>
    <row r="265" spans="1:27" x14ac:dyDescent="0.25">
      <c r="A265">
        <v>1920</v>
      </c>
      <c r="B265">
        <v>0</v>
      </c>
      <c r="C265" t="s">
        <v>40</v>
      </c>
      <c r="D265" s="33">
        <v>298.25</v>
      </c>
      <c r="E265" s="33">
        <v>298.125</v>
      </c>
      <c r="F265" s="33">
        <v>298.25</v>
      </c>
      <c r="G265" s="33">
        <v>301.5</v>
      </c>
      <c r="H265" s="33">
        <v>299.625</v>
      </c>
      <c r="I265" s="33">
        <v>299.25</v>
      </c>
      <c r="J265" s="33">
        <v>298.5</v>
      </c>
      <c r="L265" s="33">
        <v>301.125</v>
      </c>
      <c r="M265" s="33">
        <v>299</v>
      </c>
      <c r="N265" s="33">
        <v>299.75</v>
      </c>
      <c r="O265" s="33">
        <v>299.75</v>
      </c>
      <c r="P265" s="33">
        <v>300.75</v>
      </c>
      <c r="Q265" s="33">
        <v>301.75</v>
      </c>
      <c r="R265" s="33">
        <v>302.625</v>
      </c>
      <c r="S265" s="33">
        <v>298.75</v>
      </c>
      <c r="T265" s="33">
        <v>300.625</v>
      </c>
      <c r="U265" s="33">
        <v>300.25</v>
      </c>
      <c r="V265" s="33">
        <v>301.125</v>
      </c>
      <c r="W265" s="33">
        <v>300.5</v>
      </c>
      <c r="X265" s="33">
        <v>300.375</v>
      </c>
      <c r="Y265" s="21">
        <f t="shared" ref="Y265:Y268" si="6">AVERAGE(D265:X265)</f>
        <v>299.99374999999998</v>
      </c>
    </row>
    <row r="266" spans="1:27" x14ac:dyDescent="0.25">
      <c r="A266">
        <v>1920</v>
      </c>
      <c r="B266">
        <v>0</v>
      </c>
      <c r="C266" t="s">
        <v>41</v>
      </c>
      <c r="D266" s="33">
        <v>293.75</v>
      </c>
      <c r="E266" s="33">
        <v>295.875</v>
      </c>
      <c r="F266" s="33">
        <v>296.375</v>
      </c>
      <c r="G266" s="33">
        <v>295.375</v>
      </c>
      <c r="H266" s="33">
        <v>296.75</v>
      </c>
      <c r="I266" s="33">
        <v>295</v>
      </c>
      <c r="J266" s="33">
        <v>294.625</v>
      </c>
      <c r="L266" s="33">
        <v>297.125</v>
      </c>
      <c r="M266" s="33">
        <v>295.125</v>
      </c>
      <c r="N266" s="33">
        <v>295.875</v>
      </c>
      <c r="O266" s="33">
        <v>295.125</v>
      </c>
      <c r="P266" s="33">
        <v>297.125</v>
      </c>
      <c r="Q266" s="33">
        <v>295.875</v>
      </c>
      <c r="R266" s="33">
        <v>297.375</v>
      </c>
      <c r="S266" s="33">
        <v>296.625</v>
      </c>
      <c r="T266" s="33">
        <v>296.25</v>
      </c>
      <c r="U266" s="33">
        <v>296.875</v>
      </c>
      <c r="V266" s="33">
        <v>294.875</v>
      </c>
      <c r="W266" s="33">
        <v>295.25</v>
      </c>
      <c r="X266" s="33">
        <v>296.25</v>
      </c>
      <c r="Y266" s="21">
        <f t="shared" si="6"/>
        <v>295.875</v>
      </c>
    </row>
    <row r="267" spans="1:27" x14ac:dyDescent="0.25">
      <c r="A267">
        <v>1920</v>
      </c>
      <c r="B267">
        <v>1</v>
      </c>
      <c r="C267" t="s">
        <v>40</v>
      </c>
      <c r="D267" s="33">
        <v>315.25</v>
      </c>
      <c r="E267" s="33">
        <v>316.5</v>
      </c>
      <c r="F267" s="33">
        <v>316.5</v>
      </c>
      <c r="G267" s="33">
        <v>318.25</v>
      </c>
      <c r="H267" s="33">
        <v>316.875</v>
      </c>
      <c r="I267" s="33">
        <v>315.75</v>
      </c>
      <c r="J267" s="33">
        <v>312.75</v>
      </c>
      <c r="L267" s="33">
        <v>313.75</v>
      </c>
      <c r="M267" s="33">
        <v>311.5</v>
      </c>
      <c r="N267" s="33">
        <v>313.125</v>
      </c>
      <c r="O267" s="33">
        <v>315.5</v>
      </c>
      <c r="P267" s="33">
        <v>313</v>
      </c>
      <c r="Q267" s="33">
        <v>311.375</v>
      </c>
      <c r="R267" s="33">
        <v>310.125</v>
      </c>
      <c r="S267" s="33">
        <v>309.125</v>
      </c>
      <c r="T267" s="33">
        <v>310.375</v>
      </c>
      <c r="U267" s="33">
        <v>313.5</v>
      </c>
      <c r="V267" s="33">
        <v>310.625</v>
      </c>
      <c r="W267" s="33">
        <v>308.5</v>
      </c>
      <c r="X267" s="33">
        <v>310.375</v>
      </c>
      <c r="Y267" s="21">
        <f t="shared" si="6"/>
        <v>313.13749999999999</v>
      </c>
      <c r="Z267" s="55">
        <f>(Y267-Y265)/Y265</f>
        <v>4.3813412779432945E-2</v>
      </c>
      <c r="AA267" s="55"/>
    </row>
    <row r="268" spans="1:27" x14ac:dyDescent="0.25">
      <c r="A268">
        <v>1920</v>
      </c>
      <c r="B268">
        <v>1</v>
      </c>
      <c r="C268" t="s">
        <v>41</v>
      </c>
      <c r="D268" s="33">
        <v>293.875</v>
      </c>
      <c r="E268" s="33">
        <v>295.25</v>
      </c>
      <c r="F268" s="33">
        <v>294.25</v>
      </c>
      <c r="G268" s="33">
        <v>296.375</v>
      </c>
      <c r="H268" s="33">
        <v>296.625</v>
      </c>
      <c r="I268" s="33">
        <v>295.375</v>
      </c>
      <c r="J268" s="33">
        <v>295</v>
      </c>
      <c r="L268" s="33">
        <v>295.375</v>
      </c>
      <c r="M268" s="33">
        <v>292.375</v>
      </c>
      <c r="N268" s="33">
        <v>295.125</v>
      </c>
      <c r="O268" s="33">
        <v>295.25</v>
      </c>
      <c r="P268" s="33">
        <v>295.875</v>
      </c>
      <c r="Q268" s="33">
        <v>293.25</v>
      </c>
      <c r="R268" s="33">
        <v>293.625</v>
      </c>
      <c r="S268" s="33">
        <v>295</v>
      </c>
      <c r="T268" s="33">
        <v>294.375</v>
      </c>
      <c r="U268" s="33">
        <v>293.75</v>
      </c>
      <c r="V268" s="33">
        <v>294.25</v>
      </c>
      <c r="W268" s="33">
        <v>293.375</v>
      </c>
      <c r="X268" s="33">
        <v>294.5</v>
      </c>
      <c r="Y268" s="21">
        <f t="shared" si="6"/>
        <v>294.64375000000001</v>
      </c>
    </row>
    <row r="269" spans="1:27" ht="15.75" thickBot="1" x14ac:dyDescent="0.3">
      <c r="A269" s="51"/>
      <c r="B269" s="51"/>
      <c r="C269" s="51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1"/>
      <c r="Z269" s="51"/>
    </row>
    <row r="271" spans="1:27" x14ac:dyDescent="0.25">
      <c r="A271">
        <v>10</v>
      </c>
      <c r="B271">
        <v>0</v>
      </c>
      <c r="C271" t="s">
        <v>40</v>
      </c>
      <c r="D271" s="33">
        <v>322</v>
      </c>
      <c r="E271" s="33">
        <v>323.75</v>
      </c>
      <c r="F271" s="33">
        <v>321.875</v>
      </c>
      <c r="G271" s="33">
        <v>322.5</v>
      </c>
      <c r="H271" s="33">
        <v>322.125</v>
      </c>
      <c r="I271" s="33">
        <v>322.875</v>
      </c>
      <c r="J271" s="33">
        <v>322.75</v>
      </c>
      <c r="L271" s="33">
        <v>327.125</v>
      </c>
      <c r="M271" s="33">
        <v>325</v>
      </c>
      <c r="N271" s="33">
        <v>319.75</v>
      </c>
      <c r="O271" s="33">
        <v>324.625</v>
      </c>
      <c r="P271" s="33">
        <v>323.5</v>
      </c>
      <c r="Q271" s="33">
        <v>323.875</v>
      </c>
      <c r="R271" s="33">
        <v>324.75</v>
      </c>
      <c r="S271" s="33">
        <v>325.5</v>
      </c>
      <c r="T271" s="33">
        <v>324.75</v>
      </c>
      <c r="U271" s="33">
        <v>324.5</v>
      </c>
      <c r="V271" s="33">
        <v>325.75</v>
      </c>
      <c r="W271" s="33">
        <v>325.75</v>
      </c>
      <c r="X271" s="33">
        <v>324.875</v>
      </c>
      <c r="Y271" s="21">
        <f t="shared" ref="Y271:Y299" si="7">AVERAGE(D271:X271)</f>
        <v>323.88125000000002</v>
      </c>
    </row>
    <row r="272" spans="1:27" x14ac:dyDescent="0.25">
      <c r="A272">
        <v>10</v>
      </c>
      <c r="B272">
        <v>0</v>
      </c>
      <c r="C272" t="s">
        <v>41</v>
      </c>
      <c r="D272" s="33">
        <v>313.625</v>
      </c>
      <c r="E272" s="33">
        <v>311.75</v>
      </c>
      <c r="F272" s="33">
        <v>311.875</v>
      </c>
      <c r="G272" s="33">
        <v>312.5</v>
      </c>
      <c r="H272" s="33">
        <v>313</v>
      </c>
      <c r="I272" s="33">
        <v>312.5</v>
      </c>
      <c r="J272" s="33">
        <v>314.25</v>
      </c>
      <c r="L272" s="33">
        <v>315</v>
      </c>
      <c r="M272" s="33">
        <v>312.625</v>
      </c>
      <c r="N272" s="33">
        <v>311.75</v>
      </c>
      <c r="O272" s="33">
        <v>313.25</v>
      </c>
      <c r="P272" s="33">
        <v>313.375</v>
      </c>
      <c r="Q272" s="33">
        <v>313.5</v>
      </c>
      <c r="R272" s="33">
        <v>312.625</v>
      </c>
      <c r="S272" s="33">
        <v>315.25</v>
      </c>
      <c r="T272" s="33">
        <v>314.25</v>
      </c>
      <c r="U272" s="33">
        <v>314.875</v>
      </c>
      <c r="V272" s="33">
        <v>315.5</v>
      </c>
      <c r="W272" s="33">
        <v>314.125</v>
      </c>
      <c r="X272" s="33">
        <v>313</v>
      </c>
      <c r="Y272" s="21">
        <f t="shared" si="7"/>
        <v>313.43124999999998</v>
      </c>
    </row>
    <row r="273" spans="1:28" x14ac:dyDescent="0.25">
      <c r="A273">
        <v>10</v>
      </c>
      <c r="B273">
        <v>1</v>
      </c>
      <c r="C273" t="s">
        <v>40</v>
      </c>
      <c r="D273" s="33">
        <v>353.625</v>
      </c>
      <c r="E273" s="33">
        <v>351</v>
      </c>
      <c r="F273" s="33">
        <v>349.75</v>
      </c>
      <c r="G273" s="33">
        <v>349.625</v>
      </c>
      <c r="H273" s="33">
        <v>350.125</v>
      </c>
      <c r="I273" s="33">
        <v>351.375</v>
      </c>
      <c r="J273" s="33">
        <v>348.5</v>
      </c>
      <c r="L273" s="33">
        <v>350.75</v>
      </c>
      <c r="M273" s="33">
        <v>348.75</v>
      </c>
      <c r="N273" s="33">
        <v>349.375</v>
      </c>
      <c r="O273" s="33">
        <v>348</v>
      </c>
      <c r="P273" s="33">
        <v>348.75</v>
      </c>
      <c r="Q273" s="33">
        <v>347.625</v>
      </c>
      <c r="R273" s="33">
        <v>347.75</v>
      </c>
      <c r="S273" s="33">
        <v>347.25</v>
      </c>
      <c r="T273" s="33">
        <v>345.25</v>
      </c>
      <c r="U273" s="33">
        <v>344.75</v>
      </c>
      <c r="V273" s="33">
        <v>345.875</v>
      </c>
      <c r="W273" s="33">
        <v>346.75</v>
      </c>
      <c r="X273" s="33">
        <v>347.625</v>
      </c>
      <c r="Y273" s="21">
        <f t="shared" si="7"/>
        <v>348.625</v>
      </c>
      <c r="Z273" s="55">
        <f>(Y273-Y271)/Y271</f>
        <v>7.639759942880292E-2</v>
      </c>
      <c r="AA273" s="55"/>
    </row>
    <row r="274" spans="1:28" x14ac:dyDescent="0.25">
      <c r="A274">
        <v>10</v>
      </c>
      <c r="B274">
        <v>1</v>
      </c>
      <c r="C274" t="s">
        <v>41</v>
      </c>
      <c r="D274" s="33">
        <v>313.5</v>
      </c>
      <c r="E274" s="33">
        <v>309.25</v>
      </c>
      <c r="F274" s="33">
        <v>311.5</v>
      </c>
      <c r="G274" s="33">
        <v>310.75</v>
      </c>
      <c r="H274" s="33">
        <v>312.125</v>
      </c>
      <c r="I274" s="33">
        <v>313.5</v>
      </c>
      <c r="J274" s="33">
        <v>309.75</v>
      </c>
      <c r="L274" s="33">
        <v>312.125</v>
      </c>
      <c r="M274" s="33">
        <v>312.5</v>
      </c>
      <c r="N274" s="33">
        <v>313</v>
      </c>
      <c r="O274" s="33">
        <v>311.75</v>
      </c>
      <c r="P274" s="33">
        <v>311.125</v>
      </c>
      <c r="Q274" s="33">
        <v>312.125</v>
      </c>
      <c r="R274" s="33">
        <v>311.875</v>
      </c>
      <c r="S274" s="33">
        <v>311.125</v>
      </c>
      <c r="T274" s="33">
        <v>310.625</v>
      </c>
      <c r="U274" s="33">
        <v>310.625</v>
      </c>
      <c r="V274" s="33">
        <v>309.25</v>
      </c>
      <c r="W274" s="33">
        <v>310.5</v>
      </c>
      <c r="X274" s="33">
        <v>312.125</v>
      </c>
      <c r="Y274" s="21">
        <f t="shared" si="7"/>
        <v>311.45625000000001</v>
      </c>
    </row>
    <row r="276" spans="1:28" x14ac:dyDescent="0.25">
      <c r="A276">
        <v>20</v>
      </c>
      <c r="B276">
        <v>0</v>
      </c>
      <c r="C276" t="s">
        <v>40</v>
      </c>
      <c r="D276" s="33">
        <v>319.5</v>
      </c>
      <c r="E276" s="33">
        <v>317.625</v>
      </c>
      <c r="F276" s="33">
        <v>319.25</v>
      </c>
      <c r="G276" s="33">
        <v>318.125</v>
      </c>
      <c r="H276" s="33">
        <v>321.5</v>
      </c>
      <c r="I276" s="33">
        <v>315.875</v>
      </c>
      <c r="J276" s="33">
        <v>319.625</v>
      </c>
      <c r="L276" s="33">
        <v>321.375</v>
      </c>
      <c r="M276" s="33">
        <v>320.375</v>
      </c>
      <c r="N276" s="33">
        <v>321.875</v>
      </c>
      <c r="O276" s="33">
        <v>322.25</v>
      </c>
      <c r="P276" s="33">
        <v>320.25</v>
      </c>
      <c r="Q276" s="33">
        <v>318.875</v>
      </c>
      <c r="R276" s="33">
        <v>317.75</v>
      </c>
      <c r="S276" s="33">
        <v>316.25</v>
      </c>
      <c r="T276" s="33">
        <v>317.875</v>
      </c>
      <c r="U276" s="33">
        <v>317.125</v>
      </c>
      <c r="V276" s="33">
        <v>319</v>
      </c>
      <c r="W276" s="33">
        <v>319.125</v>
      </c>
      <c r="X276" s="33">
        <v>318.25</v>
      </c>
      <c r="Y276" s="21">
        <f t="shared" si="7"/>
        <v>319.09375</v>
      </c>
      <c r="AB276" s="140" t="s">
        <v>86</v>
      </c>
    </row>
    <row r="277" spans="1:28" x14ac:dyDescent="0.25">
      <c r="A277">
        <v>20</v>
      </c>
      <c r="B277">
        <v>0</v>
      </c>
      <c r="C277" t="s">
        <v>41</v>
      </c>
      <c r="D277" s="33">
        <v>309.125</v>
      </c>
      <c r="E277" s="33">
        <v>308.625</v>
      </c>
      <c r="F277" s="33">
        <v>308.125</v>
      </c>
      <c r="G277" s="33">
        <v>308.875</v>
      </c>
      <c r="H277" s="33">
        <v>309.875</v>
      </c>
      <c r="I277" s="33">
        <v>309.625</v>
      </c>
      <c r="J277" s="33">
        <v>312.625</v>
      </c>
      <c r="L277" s="33">
        <v>311.875</v>
      </c>
      <c r="M277" s="33">
        <v>310.625</v>
      </c>
      <c r="N277" s="33">
        <v>311.125</v>
      </c>
      <c r="O277" s="33">
        <v>312.5</v>
      </c>
      <c r="P277" s="33">
        <v>308.625</v>
      </c>
      <c r="Q277" s="33">
        <v>307.375</v>
      </c>
      <c r="R277" s="33">
        <v>308.5</v>
      </c>
      <c r="S277" s="33">
        <v>307.875</v>
      </c>
      <c r="T277" s="33">
        <v>309</v>
      </c>
      <c r="U277" s="33">
        <v>309</v>
      </c>
      <c r="V277" s="33">
        <v>310</v>
      </c>
      <c r="W277" s="33">
        <v>308</v>
      </c>
      <c r="X277">
        <v>308.125</v>
      </c>
      <c r="Y277" s="21">
        <f t="shared" si="7"/>
        <v>309.47500000000002</v>
      </c>
      <c r="AB277" s="140"/>
    </row>
    <row r="278" spans="1:28" x14ac:dyDescent="0.25">
      <c r="A278" s="49">
        <v>20</v>
      </c>
      <c r="B278" s="49">
        <v>1</v>
      </c>
      <c r="C278" s="49" t="s">
        <v>40</v>
      </c>
      <c r="D278" s="50">
        <v>226.25</v>
      </c>
      <c r="E278" s="50">
        <v>226.625</v>
      </c>
      <c r="F278" s="50">
        <v>232.5</v>
      </c>
      <c r="G278" s="50">
        <v>235.5</v>
      </c>
      <c r="H278" s="50">
        <v>230.75</v>
      </c>
      <c r="I278" s="50">
        <v>231.625</v>
      </c>
      <c r="J278" s="50">
        <v>231.125</v>
      </c>
      <c r="K278" s="50"/>
      <c r="L278" s="50">
        <v>233</v>
      </c>
      <c r="M278" s="50">
        <v>231.125</v>
      </c>
      <c r="N278" s="50">
        <v>235.375</v>
      </c>
      <c r="O278" s="50">
        <v>234.25</v>
      </c>
      <c r="P278" s="50">
        <v>233.75</v>
      </c>
      <c r="Q278" s="50">
        <v>236.25</v>
      </c>
      <c r="R278" s="50">
        <v>233.375</v>
      </c>
      <c r="S278" s="50">
        <v>236.25</v>
      </c>
      <c r="T278" s="50">
        <v>234.625</v>
      </c>
      <c r="U278" s="50">
        <v>236</v>
      </c>
      <c r="V278" s="50">
        <v>237.125</v>
      </c>
      <c r="W278" s="50">
        <v>236.5</v>
      </c>
      <c r="X278" s="50">
        <v>235.125</v>
      </c>
      <c r="Y278" s="21">
        <f t="shared" si="7"/>
        <v>233.35624999999999</v>
      </c>
      <c r="AA278">
        <f>+Y276/Y278</f>
        <v>1.3674103436269653</v>
      </c>
      <c r="AB278" s="140"/>
    </row>
    <row r="279" spans="1:28" x14ac:dyDescent="0.25">
      <c r="A279">
        <v>20</v>
      </c>
      <c r="B279">
        <v>1</v>
      </c>
      <c r="C279" t="s">
        <v>41</v>
      </c>
      <c r="D279" s="33">
        <v>311.5</v>
      </c>
      <c r="E279" s="33">
        <v>309.875</v>
      </c>
      <c r="F279" s="33">
        <v>316.125</v>
      </c>
      <c r="G279" s="33">
        <v>313.875</v>
      </c>
      <c r="H279" s="33">
        <v>310.875</v>
      </c>
      <c r="I279" s="33">
        <v>311.375</v>
      </c>
      <c r="J279" s="33">
        <v>310</v>
      </c>
      <c r="L279" s="33">
        <v>310.875</v>
      </c>
      <c r="M279" s="33">
        <v>309.625</v>
      </c>
      <c r="N279" s="33">
        <v>312.5</v>
      </c>
      <c r="O279" s="33">
        <v>312.5</v>
      </c>
      <c r="P279" s="33">
        <v>312.375</v>
      </c>
      <c r="Q279" s="33">
        <v>312.5</v>
      </c>
      <c r="R279" s="33">
        <v>311.25</v>
      </c>
      <c r="S279" s="33">
        <v>313.125</v>
      </c>
      <c r="T279" s="33">
        <v>311.375</v>
      </c>
      <c r="U279" s="33">
        <v>311.125</v>
      </c>
      <c r="V279" s="33">
        <v>310.5</v>
      </c>
      <c r="W279" s="33">
        <v>310.125</v>
      </c>
      <c r="X279" s="33">
        <v>309.75</v>
      </c>
      <c r="Y279" s="21">
        <f t="shared" si="7"/>
        <v>311.5625</v>
      </c>
      <c r="AB279" s="140"/>
    </row>
    <row r="281" spans="1:28" x14ac:dyDescent="0.25">
      <c r="A281">
        <v>40</v>
      </c>
      <c r="B281">
        <v>0</v>
      </c>
      <c r="C281" t="s">
        <v>40</v>
      </c>
      <c r="D281" s="33">
        <v>317.5</v>
      </c>
      <c r="E281" s="33">
        <v>317.125</v>
      </c>
      <c r="F281" s="33">
        <v>316.375</v>
      </c>
      <c r="G281" s="33">
        <v>316.5</v>
      </c>
      <c r="H281" s="33">
        <v>314.75</v>
      </c>
      <c r="I281" s="33">
        <v>318.875</v>
      </c>
      <c r="J281" s="33">
        <v>319.875</v>
      </c>
      <c r="L281" s="33">
        <v>319.75</v>
      </c>
      <c r="M281" s="33">
        <v>319.25</v>
      </c>
      <c r="N281" s="33">
        <v>317.5</v>
      </c>
      <c r="O281" s="33">
        <v>316.875</v>
      </c>
      <c r="P281" s="33">
        <v>316.75</v>
      </c>
      <c r="Q281" s="33">
        <v>317.625</v>
      </c>
      <c r="R281" s="33">
        <v>314.25</v>
      </c>
      <c r="S281" s="33">
        <v>317.375</v>
      </c>
      <c r="T281" s="33">
        <v>314.25</v>
      </c>
      <c r="U281" s="33">
        <v>316.25</v>
      </c>
      <c r="V281" s="33">
        <v>319.25</v>
      </c>
      <c r="W281" s="33">
        <v>317.125</v>
      </c>
      <c r="X281" s="33">
        <v>316.875</v>
      </c>
      <c r="Y281" s="21">
        <f t="shared" si="7"/>
        <v>317.20625000000001</v>
      </c>
    </row>
    <row r="282" spans="1:28" x14ac:dyDescent="0.25">
      <c r="A282">
        <v>40</v>
      </c>
      <c r="B282">
        <v>0</v>
      </c>
      <c r="C282" t="s">
        <v>41</v>
      </c>
      <c r="D282" s="33">
        <v>305.875</v>
      </c>
      <c r="E282" s="33">
        <v>307.375</v>
      </c>
      <c r="F282" s="33">
        <v>306.375</v>
      </c>
      <c r="G282" s="33">
        <v>307.75</v>
      </c>
      <c r="H282" s="33">
        <v>303.75</v>
      </c>
      <c r="I282" s="33">
        <v>308.75</v>
      </c>
      <c r="J282" s="33">
        <v>309.125</v>
      </c>
      <c r="L282" s="33">
        <v>308.25</v>
      </c>
      <c r="M282" s="33">
        <v>310.375</v>
      </c>
      <c r="N282" s="33">
        <v>308.5</v>
      </c>
      <c r="O282" s="33">
        <v>307</v>
      </c>
      <c r="P282" s="33">
        <v>305.875</v>
      </c>
      <c r="Q282" s="33">
        <v>307.125</v>
      </c>
      <c r="R282" s="33">
        <v>306.625</v>
      </c>
      <c r="S282" s="33">
        <v>306.625</v>
      </c>
      <c r="T282" s="33">
        <v>306.75</v>
      </c>
      <c r="U282" s="33">
        <v>305.625</v>
      </c>
      <c r="V282" s="33">
        <v>308.5</v>
      </c>
      <c r="W282" s="33">
        <v>306.875</v>
      </c>
      <c r="X282" s="33">
        <v>306</v>
      </c>
      <c r="Y282" s="21">
        <f t="shared" si="7"/>
        <v>307.15625</v>
      </c>
    </row>
    <row r="283" spans="1:28" x14ac:dyDescent="0.25">
      <c r="A283">
        <v>40</v>
      </c>
      <c r="B283">
        <v>1</v>
      </c>
      <c r="C283" t="s">
        <v>40</v>
      </c>
      <c r="D283" s="33">
        <v>318.125</v>
      </c>
      <c r="E283" s="33">
        <v>315.375</v>
      </c>
      <c r="F283" s="33">
        <v>314.875</v>
      </c>
      <c r="G283" s="33">
        <v>317.125</v>
      </c>
      <c r="H283" s="33">
        <v>315.875</v>
      </c>
      <c r="I283" s="33">
        <v>317.125</v>
      </c>
      <c r="J283" s="33">
        <v>316.875</v>
      </c>
      <c r="L283" s="33">
        <v>314.625</v>
      </c>
      <c r="M283" s="33">
        <v>317</v>
      </c>
      <c r="N283" s="33">
        <v>317.125</v>
      </c>
      <c r="O283" s="33">
        <v>315.125</v>
      </c>
      <c r="P283" s="33">
        <v>315.625</v>
      </c>
      <c r="Q283" s="33">
        <v>317.375</v>
      </c>
      <c r="R283" s="33">
        <v>318.125</v>
      </c>
      <c r="S283" s="33">
        <v>317.5</v>
      </c>
      <c r="T283" s="33">
        <v>317.875</v>
      </c>
      <c r="U283" s="33">
        <v>315</v>
      </c>
      <c r="V283" s="33">
        <v>315.375</v>
      </c>
      <c r="W283" s="33">
        <v>316</v>
      </c>
      <c r="X283" s="33">
        <v>315.875</v>
      </c>
      <c r="Y283" s="21">
        <f t="shared" si="7"/>
        <v>316.39999999999998</v>
      </c>
    </row>
    <row r="284" spans="1:28" x14ac:dyDescent="0.25">
      <c r="A284">
        <v>40</v>
      </c>
      <c r="B284">
        <v>1</v>
      </c>
      <c r="C284" t="s">
        <v>41</v>
      </c>
      <c r="D284" s="33">
        <v>309</v>
      </c>
      <c r="E284" s="33">
        <v>306.375</v>
      </c>
      <c r="F284" s="33">
        <v>306.75</v>
      </c>
      <c r="G284" s="33">
        <v>306.875</v>
      </c>
      <c r="H284" s="33">
        <v>307</v>
      </c>
      <c r="I284" s="33">
        <v>308.25</v>
      </c>
      <c r="J284" s="33">
        <v>308.375</v>
      </c>
      <c r="L284" s="33">
        <v>308</v>
      </c>
      <c r="M284" s="33">
        <v>306.375</v>
      </c>
      <c r="N284" s="33">
        <v>306.75</v>
      </c>
      <c r="O284" s="33">
        <v>305.625</v>
      </c>
      <c r="P284" s="33">
        <v>305.375</v>
      </c>
      <c r="Q284" s="33">
        <v>307.125</v>
      </c>
      <c r="R284" s="33">
        <v>307.5</v>
      </c>
      <c r="S284" s="33">
        <v>306.5</v>
      </c>
      <c r="T284" s="33">
        <v>307.375</v>
      </c>
      <c r="U284" s="33">
        <v>305.25</v>
      </c>
      <c r="V284" s="33">
        <v>305.875</v>
      </c>
      <c r="W284" s="33">
        <v>306.75</v>
      </c>
      <c r="X284" s="33">
        <v>307.25</v>
      </c>
      <c r="Y284" s="21">
        <f t="shared" si="7"/>
        <v>306.91874999999999</v>
      </c>
    </row>
    <row r="286" spans="1:28" x14ac:dyDescent="0.25">
      <c r="A286">
        <v>50</v>
      </c>
      <c r="B286">
        <v>0</v>
      </c>
      <c r="C286" t="s">
        <v>40</v>
      </c>
      <c r="D286" s="33">
        <v>315.375</v>
      </c>
      <c r="E286" s="33">
        <v>316.125</v>
      </c>
      <c r="F286" s="33">
        <v>314.375</v>
      </c>
      <c r="G286" s="33">
        <v>317.375</v>
      </c>
      <c r="H286" s="33">
        <v>315.25</v>
      </c>
      <c r="I286" s="33">
        <v>312.125</v>
      </c>
      <c r="J286" s="33">
        <v>315.125</v>
      </c>
      <c r="L286" s="33">
        <v>315.625</v>
      </c>
      <c r="M286" s="33">
        <v>314.5</v>
      </c>
      <c r="N286" s="33">
        <v>315.25</v>
      </c>
      <c r="O286" s="33">
        <v>316</v>
      </c>
      <c r="P286" s="33">
        <v>317.375</v>
      </c>
      <c r="Q286" s="33">
        <v>315.625</v>
      </c>
      <c r="R286" s="33">
        <v>313.25</v>
      </c>
      <c r="S286" s="33">
        <v>314.25</v>
      </c>
      <c r="T286" s="33">
        <v>314.875</v>
      </c>
      <c r="U286" s="33">
        <v>314.625</v>
      </c>
      <c r="V286" s="33">
        <v>315.625</v>
      </c>
      <c r="W286" s="33">
        <v>315.625</v>
      </c>
      <c r="X286" s="33">
        <v>315.75</v>
      </c>
      <c r="Y286" s="58">
        <f t="shared" si="7"/>
        <v>315.20625000000001</v>
      </c>
      <c r="AB286" s="140" t="s">
        <v>87</v>
      </c>
    </row>
    <row r="287" spans="1:28" x14ac:dyDescent="0.25">
      <c r="A287">
        <v>50</v>
      </c>
      <c r="B287">
        <v>0</v>
      </c>
      <c r="C287" t="s">
        <v>41</v>
      </c>
      <c r="D287" s="33">
        <v>305.5</v>
      </c>
      <c r="E287" s="33">
        <v>306.375</v>
      </c>
      <c r="F287" s="33">
        <v>306.875</v>
      </c>
      <c r="G287" s="33">
        <v>307</v>
      </c>
      <c r="H287" s="33">
        <v>307.875</v>
      </c>
      <c r="I287" s="33">
        <v>306.75</v>
      </c>
      <c r="J287" s="33">
        <v>306.5</v>
      </c>
      <c r="L287" s="33">
        <v>307.25</v>
      </c>
      <c r="M287" s="33">
        <v>305.75</v>
      </c>
      <c r="N287" s="33">
        <v>304.75</v>
      </c>
      <c r="O287" s="33">
        <v>304.25</v>
      </c>
      <c r="P287" s="33">
        <v>306.25</v>
      </c>
      <c r="Q287" s="33">
        <v>306.375</v>
      </c>
      <c r="R287" s="33">
        <v>304.875</v>
      </c>
      <c r="S287" s="33">
        <v>303.625</v>
      </c>
      <c r="T287" s="33">
        <v>304.625</v>
      </c>
      <c r="U287" s="33">
        <v>305.75</v>
      </c>
      <c r="V287" s="33">
        <v>305.625</v>
      </c>
      <c r="W287" s="33">
        <v>306.375</v>
      </c>
      <c r="X287" s="33">
        <v>304.875</v>
      </c>
      <c r="Y287" s="58">
        <f t="shared" si="7"/>
        <v>305.86250000000001</v>
      </c>
      <c r="AB287" s="140"/>
    </row>
    <row r="288" spans="1:28" x14ac:dyDescent="0.25">
      <c r="A288" s="53">
        <v>50</v>
      </c>
      <c r="B288" s="53">
        <v>1</v>
      </c>
      <c r="C288" s="53" t="s">
        <v>40</v>
      </c>
      <c r="D288" s="54">
        <v>272.75</v>
      </c>
      <c r="E288" s="54">
        <v>272.625</v>
      </c>
      <c r="F288" s="54">
        <v>271</v>
      </c>
      <c r="G288" s="54">
        <v>271.5</v>
      </c>
      <c r="H288" s="54">
        <v>271.625</v>
      </c>
      <c r="I288" s="54">
        <v>271</v>
      </c>
      <c r="J288" s="54">
        <v>271.625</v>
      </c>
      <c r="K288" s="54"/>
      <c r="L288" s="54">
        <v>270.875</v>
      </c>
      <c r="M288" s="54">
        <v>272.625</v>
      </c>
      <c r="N288" s="54">
        <v>273.75</v>
      </c>
      <c r="O288" s="54">
        <v>272.375</v>
      </c>
      <c r="P288" s="54">
        <v>276.5</v>
      </c>
      <c r="Q288" s="54">
        <v>276.25</v>
      </c>
      <c r="R288" s="54">
        <v>277.25</v>
      </c>
      <c r="S288" s="54">
        <v>276.875</v>
      </c>
      <c r="T288" s="54">
        <v>276.875</v>
      </c>
      <c r="U288" s="54">
        <v>279</v>
      </c>
      <c r="V288" s="54">
        <v>278.625</v>
      </c>
      <c r="W288" s="54">
        <v>277.25</v>
      </c>
      <c r="X288" s="54">
        <v>281.5</v>
      </c>
      <c r="Y288" s="21">
        <f t="shared" si="7"/>
        <v>274.59375</v>
      </c>
      <c r="AA288" t="s">
        <v>101</v>
      </c>
      <c r="AB288" s="140"/>
    </row>
    <row r="289" spans="1:28" x14ac:dyDescent="0.25">
      <c r="A289">
        <v>50</v>
      </c>
      <c r="B289">
        <v>1</v>
      </c>
      <c r="C289" t="s">
        <v>41</v>
      </c>
      <c r="D289" s="33">
        <v>306.125</v>
      </c>
      <c r="E289" s="33">
        <v>306.625</v>
      </c>
      <c r="F289" s="33">
        <v>307.625</v>
      </c>
      <c r="G289" s="33">
        <v>307.875</v>
      </c>
      <c r="H289" s="33">
        <v>306.375</v>
      </c>
      <c r="I289" s="33">
        <v>306.75</v>
      </c>
      <c r="J289" s="33">
        <v>305.625</v>
      </c>
      <c r="L289" s="33">
        <v>307.5</v>
      </c>
      <c r="M289" s="33">
        <v>307</v>
      </c>
      <c r="N289" s="33">
        <v>306.5</v>
      </c>
      <c r="O289" s="33">
        <v>308.625</v>
      </c>
      <c r="P289" s="33">
        <v>309.375</v>
      </c>
      <c r="Q289" s="33">
        <v>307.125</v>
      </c>
      <c r="R289" s="33">
        <v>306.625</v>
      </c>
      <c r="S289" s="33">
        <v>306.625</v>
      </c>
      <c r="T289" s="33">
        <v>305.875</v>
      </c>
      <c r="U289" s="33">
        <v>307.375</v>
      </c>
      <c r="V289" s="33">
        <v>306</v>
      </c>
      <c r="W289" s="33">
        <v>305.125</v>
      </c>
      <c r="X289" s="33">
        <v>308.25</v>
      </c>
      <c r="Y289" s="21">
        <f t="shared" si="7"/>
        <v>306.95</v>
      </c>
      <c r="AB289" s="140"/>
    </row>
    <row r="291" spans="1:28" x14ac:dyDescent="0.25">
      <c r="A291">
        <v>20</v>
      </c>
      <c r="B291">
        <v>0</v>
      </c>
      <c r="C291" t="s">
        <v>40</v>
      </c>
      <c r="D291" s="33">
        <v>310.25</v>
      </c>
      <c r="E291" s="33">
        <v>313.875</v>
      </c>
      <c r="F291" s="33">
        <v>314.25</v>
      </c>
      <c r="G291" s="33">
        <v>312</v>
      </c>
      <c r="H291" s="33">
        <v>315.5</v>
      </c>
      <c r="I291" s="33">
        <v>312.75</v>
      </c>
      <c r="J291" s="33">
        <v>313.875</v>
      </c>
      <c r="L291" s="33">
        <v>312.25</v>
      </c>
      <c r="M291" s="33">
        <v>312.25</v>
      </c>
      <c r="N291" s="33">
        <v>311.5</v>
      </c>
      <c r="O291" s="33">
        <v>313.25</v>
      </c>
      <c r="P291" s="33">
        <v>314.25</v>
      </c>
      <c r="Q291" s="33">
        <v>311.25</v>
      </c>
      <c r="R291" s="33">
        <v>311.25</v>
      </c>
      <c r="S291" s="33">
        <v>311.75</v>
      </c>
      <c r="T291" s="33">
        <v>310.625</v>
      </c>
      <c r="U291" s="33">
        <v>312.125</v>
      </c>
      <c r="V291" s="33">
        <v>314.5</v>
      </c>
      <c r="W291" s="33">
        <v>311.875</v>
      </c>
      <c r="X291" s="33">
        <v>312.125</v>
      </c>
      <c r="Y291" s="21">
        <f t="shared" si="7"/>
        <v>312.57499999999999</v>
      </c>
      <c r="AB291" s="140" t="s">
        <v>87</v>
      </c>
    </row>
    <row r="292" spans="1:28" x14ac:dyDescent="0.25">
      <c r="A292">
        <v>20</v>
      </c>
      <c r="B292">
        <v>0</v>
      </c>
      <c r="C292" t="s">
        <v>41</v>
      </c>
      <c r="D292" s="33">
        <v>302.5</v>
      </c>
      <c r="E292" s="33">
        <v>304.375</v>
      </c>
      <c r="F292" s="33">
        <v>304.375</v>
      </c>
      <c r="G292" s="33">
        <v>304.375</v>
      </c>
      <c r="H292" s="33">
        <v>304.75</v>
      </c>
      <c r="I292" s="33">
        <v>303.5</v>
      </c>
      <c r="J292" s="33">
        <v>303.25</v>
      </c>
      <c r="L292" s="33">
        <v>304.5</v>
      </c>
      <c r="M292" s="33">
        <v>302.375</v>
      </c>
      <c r="N292" s="33">
        <v>303.875</v>
      </c>
      <c r="O292" s="33">
        <v>303.625</v>
      </c>
      <c r="P292" s="33">
        <v>304.25</v>
      </c>
      <c r="Q292" s="33">
        <v>303.25</v>
      </c>
      <c r="R292" s="33">
        <v>301.75</v>
      </c>
      <c r="S292" s="33">
        <v>301.875</v>
      </c>
      <c r="T292" s="33">
        <v>304.625</v>
      </c>
      <c r="U292" s="33">
        <v>302.75</v>
      </c>
      <c r="V292" s="33">
        <v>303.875</v>
      </c>
      <c r="W292" s="33">
        <v>301.875</v>
      </c>
      <c r="X292" s="33">
        <v>304.75</v>
      </c>
      <c r="Y292" s="21">
        <f t="shared" si="7"/>
        <v>303.52499999999998</v>
      </c>
      <c r="AB292" s="140"/>
    </row>
    <row r="293" spans="1:28" x14ac:dyDescent="0.25">
      <c r="A293" s="53">
        <v>20</v>
      </c>
      <c r="B293" s="53">
        <v>1</v>
      </c>
      <c r="C293" s="53" t="s">
        <v>40</v>
      </c>
      <c r="D293" s="54">
        <v>250.375</v>
      </c>
      <c r="E293" s="54">
        <v>251.625</v>
      </c>
      <c r="F293" s="54">
        <v>254.5</v>
      </c>
      <c r="G293" s="54">
        <v>254.75</v>
      </c>
      <c r="H293" s="54">
        <v>254.125</v>
      </c>
      <c r="I293" s="54">
        <v>254.375</v>
      </c>
      <c r="J293" s="54">
        <v>259.125</v>
      </c>
      <c r="K293" s="54"/>
      <c r="L293" s="54">
        <v>257.625</v>
      </c>
      <c r="M293" s="54">
        <v>259.5</v>
      </c>
      <c r="N293" s="54">
        <v>260.625</v>
      </c>
      <c r="O293" s="54">
        <v>264</v>
      </c>
      <c r="P293" s="54">
        <v>264.5</v>
      </c>
      <c r="Q293" s="54">
        <v>264.75</v>
      </c>
      <c r="R293" s="54">
        <v>265.5</v>
      </c>
      <c r="S293" s="54">
        <v>266</v>
      </c>
      <c r="T293" s="54">
        <v>267.25</v>
      </c>
      <c r="U293" s="54">
        <v>267</v>
      </c>
      <c r="V293" s="54">
        <v>267.25</v>
      </c>
      <c r="W293" s="54">
        <v>267.375</v>
      </c>
      <c r="X293" s="54">
        <v>269.25</v>
      </c>
      <c r="Y293" s="21">
        <f t="shared" si="7"/>
        <v>260.97500000000002</v>
      </c>
      <c r="Z293" s="57"/>
      <c r="AA293">
        <f>+Y291/Y293</f>
        <v>1.1977200881310468</v>
      </c>
      <c r="AB293" s="140"/>
    </row>
    <row r="294" spans="1:28" x14ac:dyDescent="0.25">
      <c r="A294">
        <v>20</v>
      </c>
      <c r="B294">
        <v>1</v>
      </c>
      <c r="C294" t="s">
        <v>41</v>
      </c>
      <c r="D294" s="33">
        <v>306.5</v>
      </c>
      <c r="E294" s="33">
        <v>305.75</v>
      </c>
      <c r="F294" s="33">
        <v>303.125</v>
      </c>
      <c r="G294" s="33">
        <v>304.875</v>
      </c>
      <c r="H294" s="33">
        <v>304.75</v>
      </c>
      <c r="I294" s="33">
        <v>304.875</v>
      </c>
      <c r="J294" s="33">
        <v>306.875</v>
      </c>
      <c r="L294" s="33">
        <v>305.5</v>
      </c>
      <c r="M294" s="33">
        <v>302.25</v>
      </c>
      <c r="N294" s="33">
        <v>304.875</v>
      </c>
      <c r="O294" s="33">
        <v>305.25</v>
      </c>
      <c r="P294" s="33">
        <v>305.375</v>
      </c>
      <c r="Q294" s="33">
        <v>307.25</v>
      </c>
      <c r="R294" s="33">
        <v>306</v>
      </c>
      <c r="S294" s="33">
        <v>306.125</v>
      </c>
      <c r="T294" s="33">
        <v>306.625</v>
      </c>
      <c r="U294" s="33">
        <v>305.5</v>
      </c>
      <c r="V294" s="33">
        <v>307.375</v>
      </c>
      <c r="W294" s="33">
        <v>307.125</v>
      </c>
      <c r="X294" s="33">
        <v>306.75</v>
      </c>
      <c r="Y294" s="21">
        <f t="shared" si="7"/>
        <v>305.63749999999999</v>
      </c>
      <c r="AB294" s="140"/>
    </row>
    <row r="296" spans="1:28" x14ac:dyDescent="0.25">
      <c r="A296">
        <v>40</v>
      </c>
      <c r="B296">
        <v>0</v>
      </c>
      <c r="C296" t="s">
        <v>40</v>
      </c>
      <c r="D296" s="33">
        <v>309.75</v>
      </c>
      <c r="E296" s="33">
        <v>311.25</v>
      </c>
      <c r="F296" s="33">
        <v>312.375</v>
      </c>
      <c r="G296" s="33">
        <v>311.5</v>
      </c>
      <c r="H296" s="33">
        <v>313</v>
      </c>
      <c r="I296" s="33">
        <v>313.25</v>
      </c>
      <c r="J296" s="33">
        <v>313.25</v>
      </c>
      <c r="L296" s="33">
        <v>312.25</v>
      </c>
      <c r="M296" s="33">
        <v>311.375</v>
      </c>
      <c r="N296" s="33">
        <v>313.375</v>
      </c>
      <c r="O296" s="33">
        <v>313.375</v>
      </c>
      <c r="P296" s="33">
        <v>311.625</v>
      </c>
      <c r="Q296" s="33">
        <v>310.25</v>
      </c>
      <c r="R296" s="33">
        <v>313.75</v>
      </c>
      <c r="S296" s="33">
        <v>310.375</v>
      </c>
      <c r="T296" s="33">
        <v>313.625</v>
      </c>
      <c r="U296" s="33">
        <v>313.5</v>
      </c>
      <c r="V296" s="33">
        <v>316.125</v>
      </c>
      <c r="W296" s="33">
        <v>313.625</v>
      </c>
      <c r="X296" s="33">
        <v>311.375</v>
      </c>
      <c r="Y296" s="21">
        <f t="shared" si="7"/>
        <v>312.45</v>
      </c>
      <c r="AB296" s="56"/>
    </row>
    <row r="297" spans="1:28" x14ac:dyDescent="0.25">
      <c r="A297">
        <v>40</v>
      </c>
      <c r="B297">
        <v>0</v>
      </c>
      <c r="C297" t="s">
        <v>41</v>
      </c>
      <c r="D297" s="33">
        <v>300.375</v>
      </c>
      <c r="E297" s="33">
        <v>301.875</v>
      </c>
      <c r="F297" s="33">
        <v>301.125</v>
      </c>
      <c r="G297" s="33">
        <v>301</v>
      </c>
      <c r="H297" s="33">
        <v>301.5</v>
      </c>
      <c r="I297" s="33">
        <v>303.125</v>
      </c>
      <c r="J297" s="33">
        <v>303</v>
      </c>
      <c r="L297" s="33">
        <v>302.125</v>
      </c>
      <c r="M297" s="33">
        <v>304.125</v>
      </c>
      <c r="N297" s="33">
        <v>303.375</v>
      </c>
      <c r="O297" s="33">
        <v>302.25</v>
      </c>
      <c r="P297" s="33">
        <v>302.375</v>
      </c>
      <c r="Q297" s="33">
        <v>300.5</v>
      </c>
      <c r="R297" s="33">
        <v>301.5</v>
      </c>
      <c r="S297" s="33">
        <v>300.625</v>
      </c>
      <c r="T297" s="33">
        <v>303.375</v>
      </c>
      <c r="U297" s="33">
        <v>304.25</v>
      </c>
      <c r="V297" s="33">
        <v>304.875</v>
      </c>
      <c r="W297" s="33">
        <v>302.625</v>
      </c>
      <c r="X297" s="33">
        <v>300.75</v>
      </c>
      <c r="Y297" s="21">
        <f t="shared" si="7"/>
        <v>302.23750000000001</v>
      </c>
    </row>
    <row r="298" spans="1:28" x14ac:dyDescent="0.25">
      <c r="A298">
        <v>40</v>
      </c>
      <c r="B298">
        <v>1</v>
      </c>
      <c r="C298" t="s">
        <v>40</v>
      </c>
      <c r="D298" s="33">
        <v>311.25</v>
      </c>
      <c r="E298" s="33">
        <v>309.375</v>
      </c>
      <c r="F298" s="33">
        <v>309.25</v>
      </c>
      <c r="G298" s="33">
        <v>310.875</v>
      </c>
      <c r="H298" s="33">
        <v>310.25</v>
      </c>
      <c r="I298" s="33">
        <v>311</v>
      </c>
      <c r="J298" s="33">
        <v>310.375</v>
      </c>
      <c r="L298" s="33">
        <v>310.75</v>
      </c>
      <c r="M298" s="33">
        <v>310.125</v>
      </c>
      <c r="N298" s="33">
        <v>312.375</v>
      </c>
      <c r="O298" s="33">
        <v>310.25</v>
      </c>
      <c r="P298" s="33">
        <v>312.625</v>
      </c>
      <c r="Q298" s="33">
        <v>313.5</v>
      </c>
      <c r="R298" s="33">
        <v>310.75</v>
      </c>
      <c r="S298" s="33">
        <v>313.125</v>
      </c>
      <c r="T298" s="33">
        <v>311.875</v>
      </c>
      <c r="U298" s="33">
        <v>310.125</v>
      </c>
      <c r="V298" s="33">
        <v>310.25</v>
      </c>
      <c r="W298" s="33">
        <v>312.75</v>
      </c>
      <c r="X298" s="33">
        <v>312.875</v>
      </c>
      <c r="Y298" s="21">
        <f t="shared" si="7"/>
        <v>311.1875</v>
      </c>
      <c r="AB298" s="56"/>
    </row>
    <row r="299" spans="1:28" x14ac:dyDescent="0.25">
      <c r="A299">
        <v>40</v>
      </c>
      <c r="B299">
        <v>1</v>
      </c>
      <c r="C299" t="s">
        <v>41</v>
      </c>
      <c r="D299" s="33">
        <v>301.5</v>
      </c>
      <c r="E299" s="33">
        <v>299.125</v>
      </c>
      <c r="F299" s="33">
        <v>299.75</v>
      </c>
      <c r="G299" s="33">
        <v>301.75</v>
      </c>
      <c r="H299" s="33">
        <v>302.5</v>
      </c>
      <c r="I299" s="33">
        <v>302.125</v>
      </c>
      <c r="J299" s="33">
        <v>302.375</v>
      </c>
      <c r="L299" s="33">
        <v>303.25</v>
      </c>
      <c r="M299" s="33">
        <v>303.5</v>
      </c>
      <c r="N299" s="33">
        <v>303.125</v>
      </c>
      <c r="O299" s="33">
        <v>302.75</v>
      </c>
      <c r="P299" s="33">
        <v>303</v>
      </c>
      <c r="Q299" s="33">
        <v>302.625</v>
      </c>
      <c r="R299" s="33">
        <v>301.375</v>
      </c>
      <c r="S299" s="33">
        <v>301</v>
      </c>
      <c r="T299" s="33">
        <v>301.5</v>
      </c>
      <c r="U299" s="33">
        <v>303.5</v>
      </c>
      <c r="V299" s="33">
        <v>302.5</v>
      </c>
      <c r="W299" s="33">
        <v>300.75</v>
      </c>
      <c r="X299" s="33">
        <v>301</v>
      </c>
      <c r="Y299" s="21">
        <f t="shared" si="7"/>
        <v>301.95</v>
      </c>
    </row>
  </sheetData>
  <sortState xmlns:xlrd2="http://schemas.microsoft.com/office/spreadsheetml/2017/richdata2" ref="A1:X246">
    <sortCondition ref="B1:B246"/>
    <sortCondition ref="C1:C246"/>
    <sortCondition ref="A1:A246"/>
  </sortState>
  <mergeCells count="3">
    <mergeCell ref="AB291:AB294"/>
    <mergeCell ref="AB286:AB289"/>
    <mergeCell ref="AB276:AB27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BC62D-AB8A-4E2A-A4D9-9D907FA9F94B}">
  <dimension ref="A1:X141"/>
  <sheetViews>
    <sheetView topLeftCell="D115" workbookViewId="0">
      <selection activeCell="X29" sqref="X29"/>
    </sheetView>
  </sheetViews>
  <sheetFormatPr baseColWidth="10" defaultRowHeight="15" x14ac:dyDescent="0.25"/>
  <cols>
    <col min="1" max="1" width="6.42578125" customWidth="1"/>
    <col min="2" max="2" width="6.85546875" customWidth="1"/>
    <col min="3" max="3" width="8.5703125" customWidth="1"/>
  </cols>
  <sheetData>
    <row r="1" spans="1:24" x14ac:dyDescent="0.25">
      <c r="A1">
        <v>700</v>
      </c>
      <c r="B1">
        <v>0</v>
      </c>
      <c r="C1" t="s">
        <v>41</v>
      </c>
      <c r="D1">
        <v>300</v>
      </c>
      <c r="E1">
        <v>299.875</v>
      </c>
      <c r="F1">
        <v>298.5</v>
      </c>
      <c r="G1">
        <v>301.25</v>
      </c>
      <c r="H1">
        <v>301.875</v>
      </c>
      <c r="I1">
        <v>299.625</v>
      </c>
      <c r="J1">
        <v>300.125</v>
      </c>
      <c r="K1">
        <v>300.75</v>
      </c>
      <c r="L1">
        <v>301.375</v>
      </c>
      <c r="M1">
        <v>301.25</v>
      </c>
      <c r="N1">
        <v>301.625</v>
      </c>
      <c r="O1">
        <v>302.25</v>
      </c>
      <c r="P1">
        <v>302.25</v>
      </c>
      <c r="Q1">
        <v>299.625</v>
      </c>
      <c r="R1">
        <v>301.625</v>
      </c>
      <c r="S1">
        <v>303</v>
      </c>
      <c r="T1">
        <v>304.625</v>
      </c>
      <c r="U1">
        <v>302.375</v>
      </c>
      <c r="V1">
        <v>302.625</v>
      </c>
      <c r="W1">
        <v>300.25</v>
      </c>
      <c r="X1" s="21">
        <f t="shared" ref="X1:X31" si="0">AVERAGE(D1:W1)</f>
        <v>301.24374999999998</v>
      </c>
    </row>
    <row r="2" spans="1:24" x14ac:dyDescent="0.25">
      <c r="A2">
        <v>720</v>
      </c>
      <c r="B2">
        <v>0</v>
      </c>
      <c r="C2" t="s">
        <v>41</v>
      </c>
      <c r="D2">
        <v>300</v>
      </c>
      <c r="E2">
        <v>301.625</v>
      </c>
      <c r="F2">
        <v>301</v>
      </c>
      <c r="G2">
        <v>301.25</v>
      </c>
      <c r="H2">
        <v>300.375</v>
      </c>
      <c r="I2">
        <v>300</v>
      </c>
      <c r="J2">
        <v>301.875</v>
      </c>
      <c r="K2">
        <v>300.5</v>
      </c>
      <c r="L2">
        <v>300.375</v>
      </c>
      <c r="M2">
        <v>300.25</v>
      </c>
      <c r="N2">
        <v>302.875</v>
      </c>
      <c r="O2">
        <v>299.125</v>
      </c>
      <c r="P2">
        <v>302</v>
      </c>
      <c r="Q2">
        <v>302.25</v>
      </c>
      <c r="R2">
        <v>302.125</v>
      </c>
      <c r="S2">
        <v>302.375</v>
      </c>
      <c r="T2">
        <v>301.625</v>
      </c>
      <c r="U2">
        <v>300.75</v>
      </c>
      <c r="V2">
        <v>300.125</v>
      </c>
      <c r="W2">
        <v>301.625</v>
      </c>
      <c r="X2" s="21">
        <f t="shared" si="0"/>
        <v>301.10624999999999</v>
      </c>
    </row>
    <row r="3" spans="1:24" x14ac:dyDescent="0.25">
      <c r="A3">
        <v>740</v>
      </c>
      <c r="B3">
        <v>0</v>
      </c>
      <c r="C3" t="s">
        <v>41</v>
      </c>
      <c r="D3">
        <v>301</v>
      </c>
      <c r="E3">
        <v>300.875</v>
      </c>
      <c r="F3">
        <v>299.875</v>
      </c>
      <c r="G3">
        <v>296.75</v>
      </c>
      <c r="H3">
        <v>299.875</v>
      </c>
      <c r="I3">
        <v>301.375</v>
      </c>
      <c r="J3">
        <v>300</v>
      </c>
      <c r="K3">
        <v>301.75</v>
      </c>
      <c r="L3">
        <v>300.125</v>
      </c>
      <c r="M3">
        <v>299.75</v>
      </c>
      <c r="N3">
        <v>299.125</v>
      </c>
      <c r="O3">
        <v>299.625</v>
      </c>
      <c r="P3">
        <v>298.375</v>
      </c>
      <c r="Q3">
        <v>300.875</v>
      </c>
      <c r="R3">
        <v>299.5</v>
      </c>
      <c r="S3">
        <v>300.375</v>
      </c>
      <c r="T3">
        <v>302.25</v>
      </c>
      <c r="U3">
        <v>301.125</v>
      </c>
      <c r="V3">
        <v>300.875</v>
      </c>
      <c r="W3">
        <v>297.875</v>
      </c>
      <c r="X3" s="21">
        <f t="shared" si="0"/>
        <v>300.06875000000002</v>
      </c>
    </row>
    <row r="4" spans="1:24" x14ac:dyDescent="0.25">
      <c r="A4">
        <v>760</v>
      </c>
      <c r="B4">
        <v>0</v>
      </c>
      <c r="C4" t="s">
        <v>41</v>
      </c>
      <c r="D4">
        <v>299.5</v>
      </c>
      <c r="E4">
        <v>300.125</v>
      </c>
      <c r="F4">
        <v>300.625</v>
      </c>
      <c r="G4">
        <v>300.75</v>
      </c>
      <c r="H4">
        <v>301.125</v>
      </c>
      <c r="I4">
        <v>301</v>
      </c>
      <c r="J4">
        <v>299.375</v>
      </c>
      <c r="K4">
        <v>299.375</v>
      </c>
      <c r="L4">
        <v>298.625</v>
      </c>
      <c r="M4">
        <v>302.25</v>
      </c>
      <c r="N4">
        <v>300.125</v>
      </c>
      <c r="O4">
        <v>299.75</v>
      </c>
      <c r="P4">
        <v>297.625</v>
      </c>
      <c r="Q4">
        <v>299.5</v>
      </c>
      <c r="R4">
        <v>298.875</v>
      </c>
      <c r="S4">
        <v>300.375</v>
      </c>
      <c r="T4">
        <v>300</v>
      </c>
      <c r="U4">
        <v>302</v>
      </c>
      <c r="V4">
        <v>299.25</v>
      </c>
      <c r="W4">
        <v>300.5</v>
      </c>
      <c r="X4" s="21">
        <f t="shared" si="0"/>
        <v>300.03750000000002</v>
      </c>
    </row>
    <row r="5" spans="1:24" x14ac:dyDescent="0.25">
      <c r="A5">
        <v>780</v>
      </c>
      <c r="B5">
        <v>0</v>
      </c>
      <c r="C5" t="s">
        <v>41</v>
      </c>
      <c r="D5">
        <v>298.875</v>
      </c>
      <c r="E5">
        <v>299.125</v>
      </c>
      <c r="F5">
        <v>298.75</v>
      </c>
      <c r="G5">
        <v>300</v>
      </c>
      <c r="H5">
        <v>299.25</v>
      </c>
      <c r="I5">
        <v>299.5</v>
      </c>
      <c r="J5">
        <v>299.75</v>
      </c>
      <c r="K5">
        <v>298</v>
      </c>
      <c r="L5">
        <v>300.75</v>
      </c>
      <c r="M5">
        <v>298.5</v>
      </c>
      <c r="N5">
        <v>299.25</v>
      </c>
      <c r="O5">
        <v>299.375</v>
      </c>
      <c r="P5">
        <v>301.25</v>
      </c>
      <c r="Q5">
        <v>300</v>
      </c>
      <c r="R5">
        <v>299.25</v>
      </c>
      <c r="S5">
        <v>299.625</v>
      </c>
      <c r="T5">
        <v>299</v>
      </c>
      <c r="U5">
        <v>298.875</v>
      </c>
      <c r="V5">
        <v>299.25</v>
      </c>
      <c r="W5">
        <v>298.125</v>
      </c>
      <c r="X5" s="21">
        <f t="shared" si="0"/>
        <v>299.32499999999999</v>
      </c>
    </row>
    <row r="6" spans="1:24" x14ac:dyDescent="0.25">
      <c r="A6">
        <v>800</v>
      </c>
      <c r="B6">
        <v>0</v>
      </c>
      <c r="C6" t="s">
        <v>41</v>
      </c>
      <c r="D6">
        <v>297.875</v>
      </c>
      <c r="E6">
        <v>300.875</v>
      </c>
      <c r="F6">
        <v>300.375</v>
      </c>
      <c r="G6">
        <v>301.25</v>
      </c>
      <c r="H6">
        <v>298.25</v>
      </c>
      <c r="I6">
        <v>299.25</v>
      </c>
      <c r="J6">
        <v>300.625</v>
      </c>
      <c r="K6">
        <v>299.125</v>
      </c>
      <c r="L6">
        <v>300</v>
      </c>
      <c r="M6">
        <v>298.5</v>
      </c>
      <c r="N6">
        <v>298.875</v>
      </c>
      <c r="O6">
        <v>299.25</v>
      </c>
      <c r="P6">
        <v>298</v>
      </c>
      <c r="Q6">
        <v>299.875</v>
      </c>
      <c r="R6">
        <v>300.75</v>
      </c>
      <c r="S6">
        <v>299</v>
      </c>
      <c r="T6">
        <v>299.125</v>
      </c>
      <c r="U6">
        <v>300.375</v>
      </c>
      <c r="V6">
        <v>300.25</v>
      </c>
      <c r="W6">
        <v>301.125</v>
      </c>
      <c r="X6" s="21">
        <f t="shared" si="0"/>
        <v>299.63749999999999</v>
      </c>
    </row>
    <row r="7" spans="1:24" x14ac:dyDescent="0.25">
      <c r="A7">
        <v>820</v>
      </c>
      <c r="B7">
        <v>0</v>
      </c>
      <c r="C7" t="s">
        <v>41</v>
      </c>
      <c r="D7">
        <v>301.375</v>
      </c>
      <c r="E7">
        <v>299.75</v>
      </c>
      <c r="F7">
        <v>299.625</v>
      </c>
      <c r="G7">
        <v>298</v>
      </c>
      <c r="H7">
        <v>298.25</v>
      </c>
      <c r="I7">
        <v>300.375</v>
      </c>
      <c r="J7">
        <v>296.75</v>
      </c>
      <c r="K7">
        <v>300.375</v>
      </c>
      <c r="L7">
        <v>300.125</v>
      </c>
      <c r="M7">
        <v>301</v>
      </c>
      <c r="N7">
        <v>299.875</v>
      </c>
      <c r="O7">
        <v>296.25</v>
      </c>
      <c r="P7">
        <v>299.125</v>
      </c>
      <c r="Q7">
        <v>300.125</v>
      </c>
      <c r="R7">
        <v>300</v>
      </c>
      <c r="S7">
        <v>300.125</v>
      </c>
      <c r="T7">
        <v>300.375</v>
      </c>
      <c r="U7">
        <v>299.625</v>
      </c>
      <c r="V7">
        <v>299</v>
      </c>
      <c r="W7">
        <v>298.375</v>
      </c>
      <c r="X7" s="21">
        <f t="shared" si="0"/>
        <v>299.42500000000001</v>
      </c>
    </row>
    <row r="8" spans="1:24" x14ac:dyDescent="0.25">
      <c r="A8">
        <v>840</v>
      </c>
      <c r="B8">
        <v>0</v>
      </c>
      <c r="C8" t="s">
        <v>41</v>
      </c>
      <c r="D8">
        <v>299.125</v>
      </c>
      <c r="E8">
        <v>299</v>
      </c>
      <c r="F8">
        <v>299.625</v>
      </c>
      <c r="G8">
        <v>299</v>
      </c>
      <c r="H8">
        <v>300.25</v>
      </c>
      <c r="I8">
        <v>299</v>
      </c>
      <c r="J8">
        <v>299</v>
      </c>
      <c r="K8">
        <v>298.375</v>
      </c>
      <c r="L8">
        <v>299.875</v>
      </c>
      <c r="M8">
        <v>301.125</v>
      </c>
      <c r="N8">
        <v>298.25</v>
      </c>
      <c r="O8">
        <v>298.875</v>
      </c>
      <c r="P8">
        <v>297.25</v>
      </c>
      <c r="Q8">
        <v>299.625</v>
      </c>
      <c r="R8">
        <v>299</v>
      </c>
      <c r="S8">
        <v>299</v>
      </c>
      <c r="T8">
        <v>299.875</v>
      </c>
      <c r="U8">
        <v>297.75</v>
      </c>
      <c r="V8">
        <v>300.375</v>
      </c>
      <c r="W8">
        <v>298.5</v>
      </c>
      <c r="X8" s="21">
        <f t="shared" si="0"/>
        <v>299.14375000000001</v>
      </c>
    </row>
    <row r="9" spans="1:24" x14ac:dyDescent="0.25">
      <c r="A9">
        <v>860</v>
      </c>
      <c r="B9">
        <v>0</v>
      </c>
      <c r="C9" t="s">
        <v>41</v>
      </c>
      <c r="D9">
        <v>300.5</v>
      </c>
      <c r="E9">
        <v>299.125</v>
      </c>
      <c r="F9">
        <v>299.125</v>
      </c>
      <c r="G9">
        <v>300</v>
      </c>
      <c r="H9">
        <v>299</v>
      </c>
      <c r="I9">
        <v>298.75</v>
      </c>
      <c r="J9">
        <v>299.625</v>
      </c>
      <c r="K9">
        <v>300</v>
      </c>
      <c r="L9">
        <v>298.5</v>
      </c>
      <c r="M9">
        <v>298.625</v>
      </c>
      <c r="N9">
        <v>297.75</v>
      </c>
      <c r="O9">
        <v>299.25</v>
      </c>
      <c r="P9">
        <v>301.875</v>
      </c>
      <c r="Q9">
        <v>301.625</v>
      </c>
      <c r="R9">
        <v>299.125</v>
      </c>
      <c r="S9">
        <v>299.25</v>
      </c>
      <c r="T9">
        <v>298.875</v>
      </c>
      <c r="U9">
        <v>299.25</v>
      </c>
      <c r="V9">
        <v>297</v>
      </c>
      <c r="W9">
        <v>299.625</v>
      </c>
      <c r="X9" s="21">
        <f t="shared" si="0"/>
        <v>299.34375</v>
      </c>
    </row>
    <row r="10" spans="1:24" x14ac:dyDescent="0.25">
      <c r="A10">
        <v>880</v>
      </c>
      <c r="B10">
        <v>0</v>
      </c>
      <c r="C10" t="s">
        <v>41</v>
      </c>
      <c r="D10">
        <v>298.75</v>
      </c>
      <c r="E10">
        <v>298.875</v>
      </c>
      <c r="F10">
        <v>296.875</v>
      </c>
      <c r="G10">
        <v>299.5</v>
      </c>
      <c r="H10">
        <v>298.75</v>
      </c>
      <c r="I10">
        <v>297.375</v>
      </c>
      <c r="J10">
        <v>297.875</v>
      </c>
      <c r="K10">
        <v>299.5</v>
      </c>
      <c r="L10">
        <v>297.75</v>
      </c>
      <c r="M10">
        <v>302.875</v>
      </c>
      <c r="N10">
        <v>300.75</v>
      </c>
      <c r="O10">
        <v>301.125</v>
      </c>
      <c r="P10">
        <v>299.875</v>
      </c>
      <c r="Q10">
        <v>298.875</v>
      </c>
      <c r="R10">
        <v>297.125</v>
      </c>
      <c r="S10">
        <v>299.125</v>
      </c>
      <c r="T10">
        <v>299.125</v>
      </c>
      <c r="U10">
        <v>299.375</v>
      </c>
      <c r="V10">
        <v>300.25</v>
      </c>
      <c r="W10">
        <v>297.125</v>
      </c>
      <c r="X10" s="21">
        <f t="shared" si="0"/>
        <v>299.04374999999999</v>
      </c>
    </row>
    <row r="11" spans="1:24" x14ac:dyDescent="0.25">
      <c r="A11">
        <v>900</v>
      </c>
      <c r="B11">
        <v>0</v>
      </c>
      <c r="C11" t="s">
        <v>41</v>
      </c>
      <c r="D11">
        <v>299.125</v>
      </c>
      <c r="E11">
        <v>298.5</v>
      </c>
      <c r="F11">
        <v>297.375</v>
      </c>
      <c r="G11">
        <v>298.75</v>
      </c>
      <c r="H11">
        <v>298</v>
      </c>
      <c r="I11">
        <v>299</v>
      </c>
      <c r="J11">
        <v>298.25</v>
      </c>
      <c r="K11">
        <v>300.5</v>
      </c>
      <c r="L11">
        <v>299.875</v>
      </c>
      <c r="M11">
        <v>298.375</v>
      </c>
      <c r="N11">
        <v>298.75</v>
      </c>
      <c r="O11">
        <v>299.375</v>
      </c>
      <c r="P11">
        <v>298.25</v>
      </c>
      <c r="Q11">
        <v>300.625</v>
      </c>
      <c r="R11">
        <v>299.75</v>
      </c>
      <c r="S11">
        <v>297.125</v>
      </c>
      <c r="T11">
        <v>300.125</v>
      </c>
      <c r="U11">
        <v>299.75</v>
      </c>
      <c r="V11">
        <v>296.5</v>
      </c>
      <c r="W11">
        <v>297.75</v>
      </c>
      <c r="X11" s="21">
        <f t="shared" si="0"/>
        <v>298.78750000000002</v>
      </c>
    </row>
    <row r="12" spans="1:24" x14ac:dyDescent="0.25">
      <c r="A12">
        <v>920</v>
      </c>
      <c r="B12">
        <v>0</v>
      </c>
      <c r="C12" t="s">
        <v>41</v>
      </c>
      <c r="D12">
        <v>298.25</v>
      </c>
      <c r="E12">
        <v>297.625</v>
      </c>
      <c r="F12">
        <v>299.375</v>
      </c>
      <c r="G12">
        <v>299.25</v>
      </c>
      <c r="H12">
        <v>297.25</v>
      </c>
      <c r="I12">
        <v>299.125</v>
      </c>
      <c r="J12">
        <v>300.125</v>
      </c>
      <c r="K12">
        <v>298.75</v>
      </c>
      <c r="L12">
        <v>300</v>
      </c>
      <c r="M12">
        <v>295.75</v>
      </c>
      <c r="N12">
        <v>298.25</v>
      </c>
      <c r="O12">
        <v>298</v>
      </c>
      <c r="P12">
        <v>296.5</v>
      </c>
      <c r="Q12">
        <v>296.875</v>
      </c>
      <c r="R12">
        <v>299.625</v>
      </c>
      <c r="S12">
        <v>298.625</v>
      </c>
      <c r="T12">
        <v>299.75</v>
      </c>
      <c r="U12">
        <v>296.875</v>
      </c>
      <c r="V12">
        <v>297.5</v>
      </c>
      <c r="W12">
        <v>297.75</v>
      </c>
      <c r="X12" s="21">
        <f t="shared" si="0"/>
        <v>298.26249999999999</v>
      </c>
    </row>
    <row r="13" spans="1:24" x14ac:dyDescent="0.25">
      <c r="A13">
        <v>940</v>
      </c>
      <c r="B13">
        <v>0</v>
      </c>
      <c r="C13" t="s">
        <v>41</v>
      </c>
      <c r="D13">
        <v>299.125</v>
      </c>
      <c r="E13">
        <v>298.375</v>
      </c>
      <c r="F13">
        <v>298.75</v>
      </c>
      <c r="G13">
        <v>298.25</v>
      </c>
      <c r="H13">
        <v>299.75</v>
      </c>
      <c r="I13">
        <v>298.375</v>
      </c>
      <c r="J13">
        <v>295.875</v>
      </c>
      <c r="K13">
        <v>299.875</v>
      </c>
      <c r="L13">
        <v>298</v>
      </c>
      <c r="M13">
        <v>295.875</v>
      </c>
      <c r="N13">
        <v>297.875</v>
      </c>
      <c r="O13">
        <v>299.75</v>
      </c>
      <c r="P13">
        <v>298.75</v>
      </c>
      <c r="Q13">
        <v>301</v>
      </c>
      <c r="R13">
        <v>299.25</v>
      </c>
      <c r="S13">
        <v>299.75</v>
      </c>
      <c r="T13">
        <v>297.5</v>
      </c>
      <c r="U13">
        <v>298.125</v>
      </c>
      <c r="V13">
        <v>299.125</v>
      </c>
      <c r="W13">
        <v>299</v>
      </c>
      <c r="X13" s="21">
        <f t="shared" si="0"/>
        <v>298.61874999999998</v>
      </c>
    </row>
    <row r="14" spans="1:24" x14ac:dyDescent="0.25">
      <c r="A14">
        <v>960</v>
      </c>
      <c r="B14">
        <v>0</v>
      </c>
      <c r="C14" t="s">
        <v>41</v>
      </c>
      <c r="D14">
        <v>298.25</v>
      </c>
      <c r="E14">
        <v>298.125</v>
      </c>
      <c r="F14">
        <v>298.375</v>
      </c>
      <c r="G14">
        <v>298.75</v>
      </c>
      <c r="H14">
        <v>296.375</v>
      </c>
      <c r="I14">
        <v>298.25</v>
      </c>
      <c r="J14">
        <v>298.25</v>
      </c>
      <c r="K14">
        <v>299.25</v>
      </c>
      <c r="L14">
        <v>297.625</v>
      </c>
      <c r="M14">
        <v>299.125</v>
      </c>
      <c r="N14">
        <v>298.25</v>
      </c>
      <c r="O14">
        <v>298.375</v>
      </c>
      <c r="P14">
        <v>298.125</v>
      </c>
      <c r="Q14">
        <v>297.875</v>
      </c>
      <c r="R14">
        <v>297.5</v>
      </c>
      <c r="S14">
        <v>296.875</v>
      </c>
      <c r="T14">
        <v>296.75</v>
      </c>
      <c r="U14">
        <v>297</v>
      </c>
      <c r="V14">
        <v>299.625</v>
      </c>
      <c r="W14">
        <v>297.5</v>
      </c>
      <c r="X14" s="21">
        <f t="shared" si="0"/>
        <v>298.01249999999999</v>
      </c>
    </row>
    <row r="15" spans="1:24" x14ac:dyDescent="0.25">
      <c r="A15">
        <v>980</v>
      </c>
      <c r="B15">
        <v>0</v>
      </c>
      <c r="C15" t="s">
        <v>41</v>
      </c>
      <c r="D15">
        <v>299.125</v>
      </c>
      <c r="E15">
        <v>298.125</v>
      </c>
      <c r="F15">
        <v>300.5</v>
      </c>
      <c r="G15">
        <v>299.375</v>
      </c>
      <c r="H15">
        <v>299.125</v>
      </c>
      <c r="I15">
        <v>298</v>
      </c>
      <c r="J15">
        <v>297.125</v>
      </c>
      <c r="K15">
        <v>297.25</v>
      </c>
      <c r="L15">
        <v>298.5</v>
      </c>
      <c r="M15">
        <v>298.875</v>
      </c>
      <c r="N15">
        <v>299.25</v>
      </c>
      <c r="O15">
        <v>298.5</v>
      </c>
      <c r="P15">
        <v>297.5</v>
      </c>
      <c r="Q15">
        <v>296.375</v>
      </c>
      <c r="R15">
        <v>298.375</v>
      </c>
      <c r="S15">
        <v>297.5</v>
      </c>
      <c r="T15">
        <v>298.25</v>
      </c>
      <c r="U15">
        <v>296.625</v>
      </c>
      <c r="V15">
        <v>299.875</v>
      </c>
      <c r="W15">
        <v>300.625</v>
      </c>
      <c r="X15" s="21">
        <f t="shared" si="0"/>
        <v>298.44375000000002</v>
      </c>
    </row>
    <row r="16" spans="1:24" x14ac:dyDescent="0.25">
      <c r="A16">
        <v>1000</v>
      </c>
      <c r="B16">
        <v>0</v>
      </c>
      <c r="C16" t="s">
        <v>41</v>
      </c>
      <c r="D16">
        <v>296</v>
      </c>
      <c r="E16">
        <v>298.375</v>
      </c>
      <c r="F16">
        <v>298.125</v>
      </c>
      <c r="G16">
        <v>299</v>
      </c>
      <c r="H16">
        <v>298.125</v>
      </c>
      <c r="I16">
        <v>296.875</v>
      </c>
      <c r="J16">
        <v>298.25</v>
      </c>
      <c r="K16">
        <v>297.375</v>
      </c>
      <c r="L16">
        <v>296.5</v>
      </c>
      <c r="M16">
        <v>298.875</v>
      </c>
      <c r="N16">
        <v>298.25</v>
      </c>
      <c r="O16">
        <v>297.875</v>
      </c>
      <c r="P16">
        <v>298.5</v>
      </c>
      <c r="Q16">
        <v>297</v>
      </c>
      <c r="R16">
        <v>298.125</v>
      </c>
      <c r="S16">
        <v>299.5</v>
      </c>
      <c r="T16">
        <v>297.75</v>
      </c>
      <c r="U16">
        <v>298.625</v>
      </c>
      <c r="V16">
        <v>296.875</v>
      </c>
      <c r="W16">
        <v>295.625</v>
      </c>
      <c r="X16" s="21">
        <f t="shared" si="0"/>
        <v>297.78125</v>
      </c>
    </row>
    <row r="17" spans="1:24" x14ac:dyDescent="0.25">
      <c r="A17">
        <v>1020</v>
      </c>
      <c r="B17">
        <v>0</v>
      </c>
      <c r="C17" t="s">
        <v>41</v>
      </c>
      <c r="D17">
        <v>298.125</v>
      </c>
      <c r="E17">
        <v>297.75</v>
      </c>
      <c r="F17">
        <v>297.875</v>
      </c>
      <c r="G17">
        <v>299.25</v>
      </c>
      <c r="H17">
        <v>297.625</v>
      </c>
      <c r="I17">
        <v>297.75</v>
      </c>
      <c r="J17">
        <v>297.5</v>
      </c>
      <c r="K17">
        <v>294.25</v>
      </c>
      <c r="L17">
        <v>295.75</v>
      </c>
      <c r="M17">
        <v>299.5</v>
      </c>
      <c r="N17">
        <v>296.375</v>
      </c>
      <c r="O17">
        <v>297.5</v>
      </c>
      <c r="P17">
        <v>298.375</v>
      </c>
      <c r="Q17">
        <v>300</v>
      </c>
      <c r="R17">
        <v>298.25</v>
      </c>
      <c r="S17">
        <v>297.625</v>
      </c>
      <c r="T17">
        <v>297.625</v>
      </c>
      <c r="U17">
        <v>295.375</v>
      </c>
      <c r="V17">
        <v>297.25</v>
      </c>
      <c r="W17">
        <v>296.875</v>
      </c>
      <c r="X17" s="21">
        <f t="shared" si="0"/>
        <v>297.53125</v>
      </c>
    </row>
    <row r="18" spans="1:24" x14ac:dyDescent="0.25">
      <c r="A18">
        <v>1040</v>
      </c>
      <c r="B18">
        <v>0</v>
      </c>
      <c r="C18" t="s">
        <v>41</v>
      </c>
      <c r="D18">
        <v>296</v>
      </c>
      <c r="E18">
        <v>298.375</v>
      </c>
      <c r="F18">
        <v>297.875</v>
      </c>
      <c r="G18">
        <v>298.375</v>
      </c>
      <c r="H18">
        <v>298.875</v>
      </c>
      <c r="I18">
        <v>296.75</v>
      </c>
      <c r="J18">
        <v>299.125</v>
      </c>
      <c r="K18">
        <v>297.5</v>
      </c>
      <c r="L18">
        <v>297.25</v>
      </c>
      <c r="M18">
        <v>299.5</v>
      </c>
      <c r="N18">
        <v>297.875</v>
      </c>
      <c r="O18">
        <v>297.625</v>
      </c>
      <c r="P18">
        <v>296.375</v>
      </c>
      <c r="Q18">
        <v>298.625</v>
      </c>
      <c r="R18">
        <v>297.375</v>
      </c>
      <c r="S18">
        <v>295.875</v>
      </c>
      <c r="T18">
        <v>295.5</v>
      </c>
      <c r="U18">
        <v>299.5</v>
      </c>
      <c r="V18">
        <v>299.125</v>
      </c>
      <c r="W18">
        <v>298.375</v>
      </c>
      <c r="X18" s="21">
        <f t="shared" si="0"/>
        <v>297.79374999999999</v>
      </c>
    </row>
    <row r="19" spans="1:24" x14ac:dyDescent="0.25">
      <c r="A19">
        <v>1060</v>
      </c>
      <c r="B19">
        <v>0</v>
      </c>
      <c r="C19" t="s">
        <v>41</v>
      </c>
      <c r="D19">
        <v>296.5</v>
      </c>
      <c r="E19">
        <v>298.5</v>
      </c>
      <c r="F19">
        <v>299.625</v>
      </c>
      <c r="G19">
        <v>297.5</v>
      </c>
      <c r="H19">
        <v>296.5</v>
      </c>
      <c r="I19">
        <v>299.375</v>
      </c>
      <c r="J19">
        <v>296.875</v>
      </c>
      <c r="K19">
        <v>298.625</v>
      </c>
      <c r="L19">
        <v>297.75</v>
      </c>
      <c r="M19">
        <v>297.625</v>
      </c>
      <c r="N19">
        <v>297.875</v>
      </c>
      <c r="O19">
        <v>296.875</v>
      </c>
      <c r="P19">
        <v>296.375</v>
      </c>
      <c r="Q19">
        <v>295.625</v>
      </c>
      <c r="R19">
        <v>296.875</v>
      </c>
      <c r="S19">
        <v>297.625</v>
      </c>
      <c r="T19">
        <v>298.75</v>
      </c>
      <c r="U19">
        <v>298.375</v>
      </c>
      <c r="V19">
        <v>298.375</v>
      </c>
      <c r="W19">
        <v>297.5</v>
      </c>
      <c r="X19" s="21">
        <f t="shared" si="0"/>
        <v>297.65625</v>
      </c>
    </row>
    <row r="20" spans="1:24" x14ac:dyDescent="0.25">
      <c r="A20">
        <v>1080</v>
      </c>
      <c r="B20">
        <v>0</v>
      </c>
      <c r="C20" t="s">
        <v>41</v>
      </c>
      <c r="D20">
        <v>298.625</v>
      </c>
      <c r="E20">
        <v>296.625</v>
      </c>
      <c r="F20">
        <v>298.25</v>
      </c>
      <c r="G20">
        <v>296.875</v>
      </c>
      <c r="H20">
        <v>296.875</v>
      </c>
      <c r="I20">
        <v>299.25</v>
      </c>
      <c r="J20">
        <v>295.5</v>
      </c>
      <c r="K20">
        <v>296</v>
      </c>
      <c r="L20">
        <v>297</v>
      </c>
      <c r="M20">
        <v>295.625</v>
      </c>
      <c r="N20">
        <v>296.375</v>
      </c>
      <c r="O20">
        <v>296.25</v>
      </c>
      <c r="P20">
        <v>297.25</v>
      </c>
      <c r="Q20">
        <v>297.75</v>
      </c>
      <c r="R20">
        <v>298.375</v>
      </c>
      <c r="S20">
        <v>299.125</v>
      </c>
      <c r="T20">
        <v>295.75</v>
      </c>
      <c r="U20">
        <v>296.625</v>
      </c>
      <c r="V20">
        <v>295.875</v>
      </c>
      <c r="W20">
        <v>298.375</v>
      </c>
      <c r="X20" s="21">
        <f t="shared" si="0"/>
        <v>297.11874999999998</v>
      </c>
    </row>
    <row r="21" spans="1:24" x14ac:dyDescent="0.25">
      <c r="A21">
        <v>1100</v>
      </c>
      <c r="B21">
        <v>0</v>
      </c>
      <c r="C21" t="s">
        <v>41</v>
      </c>
      <c r="D21">
        <v>294.875</v>
      </c>
      <c r="E21">
        <v>298.5</v>
      </c>
      <c r="F21">
        <v>298.125</v>
      </c>
      <c r="G21">
        <v>297.375</v>
      </c>
      <c r="H21">
        <v>298.25</v>
      </c>
      <c r="I21">
        <v>297</v>
      </c>
      <c r="J21">
        <v>296.625</v>
      </c>
      <c r="K21">
        <v>295.125</v>
      </c>
      <c r="L21">
        <v>294.625</v>
      </c>
      <c r="M21">
        <v>296.25</v>
      </c>
      <c r="N21">
        <v>296.875</v>
      </c>
      <c r="O21">
        <v>296.125</v>
      </c>
      <c r="P21">
        <v>296.375</v>
      </c>
      <c r="Q21">
        <v>295.75</v>
      </c>
      <c r="R21">
        <v>294.625</v>
      </c>
      <c r="S21">
        <v>295.875</v>
      </c>
      <c r="T21">
        <v>295.625</v>
      </c>
      <c r="U21">
        <v>296</v>
      </c>
      <c r="V21">
        <v>298.625</v>
      </c>
      <c r="W21">
        <v>296.375</v>
      </c>
      <c r="X21" s="21">
        <f t="shared" si="0"/>
        <v>296.45</v>
      </c>
    </row>
    <row r="22" spans="1:24" x14ac:dyDescent="0.25">
      <c r="A22">
        <v>1120</v>
      </c>
      <c r="B22">
        <v>0</v>
      </c>
      <c r="C22" t="s">
        <v>41</v>
      </c>
      <c r="D22">
        <v>295.375</v>
      </c>
      <c r="E22">
        <v>296.625</v>
      </c>
      <c r="F22">
        <v>297.625</v>
      </c>
      <c r="G22">
        <v>294.75</v>
      </c>
      <c r="H22">
        <v>296</v>
      </c>
      <c r="I22">
        <v>296</v>
      </c>
      <c r="J22">
        <v>298.75</v>
      </c>
      <c r="K22">
        <v>298</v>
      </c>
      <c r="L22">
        <v>296</v>
      </c>
      <c r="M22">
        <v>296.625</v>
      </c>
      <c r="N22">
        <v>297.375</v>
      </c>
      <c r="O22">
        <v>297</v>
      </c>
      <c r="P22">
        <v>298.25</v>
      </c>
      <c r="Q22">
        <v>295.875</v>
      </c>
      <c r="R22">
        <v>296.75</v>
      </c>
      <c r="S22">
        <v>297.5</v>
      </c>
      <c r="T22">
        <v>296.625</v>
      </c>
      <c r="U22">
        <v>297.25</v>
      </c>
      <c r="V22">
        <v>298.125</v>
      </c>
      <c r="W22">
        <v>299</v>
      </c>
      <c r="X22" s="21">
        <f t="shared" si="0"/>
        <v>296.97500000000002</v>
      </c>
    </row>
    <row r="23" spans="1:24" x14ac:dyDescent="0.25">
      <c r="A23">
        <v>1140</v>
      </c>
      <c r="B23">
        <v>0</v>
      </c>
      <c r="C23" t="s">
        <v>41</v>
      </c>
      <c r="D23">
        <v>297</v>
      </c>
      <c r="E23">
        <v>296.5</v>
      </c>
      <c r="F23">
        <v>298.75</v>
      </c>
      <c r="G23">
        <v>298</v>
      </c>
      <c r="H23">
        <v>298.75</v>
      </c>
      <c r="I23">
        <v>299</v>
      </c>
      <c r="J23">
        <v>296.875</v>
      </c>
      <c r="K23">
        <v>297.375</v>
      </c>
      <c r="L23">
        <v>296</v>
      </c>
      <c r="M23">
        <v>296.625</v>
      </c>
      <c r="N23">
        <v>296</v>
      </c>
      <c r="O23">
        <v>296.5</v>
      </c>
      <c r="P23">
        <v>297.375</v>
      </c>
      <c r="Q23">
        <v>297.5</v>
      </c>
      <c r="R23">
        <v>296.875</v>
      </c>
      <c r="S23">
        <v>297.25</v>
      </c>
      <c r="T23">
        <v>295.75</v>
      </c>
      <c r="U23">
        <v>295.625</v>
      </c>
      <c r="V23">
        <v>296.125</v>
      </c>
      <c r="W23">
        <v>296.125</v>
      </c>
      <c r="X23" s="21">
        <f t="shared" si="0"/>
        <v>297</v>
      </c>
    </row>
    <row r="24" spans="1:24" x14ac:dyDescent="0.25">
      <c r="A24">
        <v>1160</v>
      </c>
      <c r="B24">
        <v>0</v>
      </c>
      <c r="C24" t="s">
        <v>41</v>
      </c>
      <c r="D24">
        <v>296.75</v>
      </c>
      <c r="E24">
        <v>294.375</v>
      </c>
      <c r="F24">
        <v>297.625</v>
      </c>
      <c r="G24">
        <v>296</v>
      </c>
      <c r="H24">
        <v>295.25</v>
      </c>
      <c r="I24">
        <v>295.5</v>
      </c>
      <c r="J24">
        <v>296.375</v>
      </c>
      <c r="K24">
        <v>295.75</v>
      </c>
      <c r="L24">
        <v>296.625</v>
      </c>
      <c r="M24">
        <v>295.875</v>
      </c>
      <c r="N24">
        <v>296.75</v>
      </c>
      <c r="O24">
        <v>295.875</v>
      </c>
      <c r="P24">
        <v>295.75</v>
      </c>
      <c r="Q24">
        <v>297.25</v>
      </c>
      <c r="R24">
        <v>296.375</v>
      </c>
      <c r="S24">
        <v>296.25</v>
      </c>
      <c r="T24">
        <v>299.5</v>
      </c>
      <c r="U24">
        <v>295</v>
      </c>
      <c r="V24">
        <v>297.5</v>
      </c>
      <c r="W24">
        <v>297.625</v>
      </c>
      <c r="X24" s="21">
        <f t="shared" si="0"/>
        <v>296.39999999999998</v>
      </c>
    </row>
    <row r="25" spans="1:24" x14ac:dyDescent="0.25">
      <c r="A25">
        <v>1180</v>
      </c>
      <c r="B25">
        <v>0</v>
      </c>
      <c r="C25" t="s">
        <v>41</v>
      </c>
      <c r="D25">
        <v>296</v>
      </c>
      <c r="E25">
        <v>297.125</v>
      </c>
      <c r="F25">
        <v>298.25</v>
      </c>
      <c r="G25">
        <v>295.625</v>
      </c>
      <c r="H25">
        <v>296.25</v>
      </c>
      <c r="I25">
        <v>297.75</v>
      </c>
      <c r="J25">
        <v>298</v>
      </c>
      <c r="K25">
        <v>297.5</v>
      </c>
      <c r="L25">
        <v>296.25</v>
      </c>
      <c r="M25">
        <v>294.75</v>
      </c>
      <c r="N25">
        <v>297</v>
      </c>
      <c r="O25">
        <v>296.125</v>
      </c>
      <c r="P25">
        <v>296.5</v>
      </c>
      <c r="Q25">
        <v>296.125</v>
      </c>
      <c r="R25">
        <v>296</v>
      </c>
      <c r="S25">
        <v>298.125</v>
      </c>
      <c r="T25">
        <v>295.5</v>
      </c>
      <c r="U25">
        <v>297.125</v>
      </c>
      <c r="V25">
        <v>295.5</v>
      </c>
      <c r="W25">
        <v>296.5</v>
      </c>
      <c r="X25" s="21">
        <f t="shared" si="0"/>
        <v>296.60000000000002</v>
      </c>
    </row>
    <row r="26" spans="1:24" x14ac:dyDescent="0.25">
      <c r="A26">
        <v>1200</v>
      </c>
      <c r="B26">
        <v>0</v>
      </c>
      <c r="C26" t="s">
        <v>41</v>
      </c>
      <c r="D26">
        <v>296.25</v>
      </c>
      <c r="E26">
        <v>294.875</v>
      </c>
      <c r="F26">
        <v>296.75</v>
      </c>
      <c r="G26">
        <v>295.875</v>
      </c>
      <c r="H26">
        <v>297.875</v>
      </c>
      <c r="I26">
        <v>294.625</v>
      </c>
      <c r="J26">
        <v>297.125</v>
      </c>
      <c r="K26">
        <v>298.125</v>
      </c>
      <c r="L26">
        <v>296</v>
      </c>
      <c r="M26">
        <v>296.75</v>
      </c>
      <c r="N26">
        <v>297</v>
      </c>
      <c r="O26">
        <v>295.25</v>
      </c>
      <c r="P26">
        <v>298.25</v>
      </c>
      <c r="Q26">
        <v>295.25</v>
      </c>
      <c r="R26">
        <v>298.625</v>
      </c>
      <c r="S26">
        <v>296.5</v>
      </c>
      <c r="T26">
        <v>296</v>
      </c>
      <c r="U26">
        <v>295.5</v>
      </c>
      <c r="V26">
        <v>297</v>
      </c>
      <c r="W26">
        <v>295.75</v>
      </c>
      <c r="X26" s="21">
        <f t="shared" si="0"/>
        <v>296.46875</v>
      </c>
    </row>
    <row r="27" spans="1:24" x14ac:dyDescent="0.25">
      <c r="A27">
        <v>1220</v>
      </c>
      <c r="B27">
        <v>0</v>
      </c>
      <c r="C27" t="s">
        <v>41</v>
      </c>
      <c r="D27">
        <v>295</v>
      </c>
      <c r="E27">
        <v>296.625</v>
      </c>
      <c r="F27">
        <v>295.375</v>
      </c>
      <c r="G27">
        <v>295.625</v>
      </c>
      <c r="H27">
        <v>297.375</v>
      </c>
      <c r="I27">
        <v>297.75</v>
      </c>
      <c r="J27">
        <v>296.375</v>
      </c>
      <c r="K27">
        <v>299</v>
      </c>
      <c r="L27">
        <v>296.375</v>
      </c>
      <c r="M27">
        <v>296.875</v>
      </c>
      <c r="N27">
        <v>296.625</v>
      </c>
      <c r="O27">
        <v>296.25</v>
      </c>
      <c r="P27">
        <v>296.875</v>
      </c>
      <c r="Q27">
        <v>298.625</v>
      </c>
      <c r="R27">
        <v>297.75</v>
      </c>
      <c r="S27">
        <v>297</v>
      </c>
      <c r="T27">
        <v>296.25</v>
      </c>
      <c r="U27">
        <v>295.625</v>
      </c>
      <c r="V27">
        <v>294.625</v>
      </c>
      <c r="W27">
        <v>295.375</v>
      </c>
      <c r="X27" s="21">
        <f t="shared" si="0"/>
        <v>296.56875000000002</v>
      </c>
    </row>
    <row r="28" spans="1:24" x14ac:dyDescent="0.25">
      <c r="A28">
        <v>1240</v>
      </c>
      <c r="B28">
        <v>0</v>
      </c>
      <c r="C28" t="s">
        <v>41</v>
      </c>
      <c r="D28">
        <v>293.875</v>
      </c>
      <c r="E28">
        <v>296.875</v>
      </c>
      <c r="F28">
        <v>296.25</v>
      </c>
      <c r="G28">
        <v>295.75</v>
      </c>
      <c r="H28">
        <v>297.625</v>
      </c>
      <c r="I28">
        <v>295.625</v>
      </c>
      <c r="J28">
        <v>296.25</v>
      </c>
      <c r="K28">
        <v>296</v>
      </c>
      <c r="L28">
        <v>295.875</v>
      </c>
      <c r="M28">
        <v>298.25</v>
      </c>
      <c r="N28">
        <v>296.75</v>
      </c>
      <c r="O28">
        <v>298.5</v>
      </c>
      <c r="P28">
        <v>296.625</v>
      </c>
      <c r="Q28">
        <v>293.875</v>
      </c>
      <c r="R28">
        <v>297.625</v>
      </c>
      <c r="S28">
        <v>296.625</v>
      </c>
      <c r="T28">
        <v>298</v>
      </c>
      <c r="U28">
        <v>297.375</v>
      </c>
      <c r="V28">
        <v>295.875</v>
      </c>
      <c r="W28">
        <v>295.875</v>
      </c>
      <c r="X28" s="21">
        <f t="shared" si="0"/>
        <v>296.47500000000002</v>
      </c>
    </row>
    <row r="29" spans="1:24" x14ac:dyDescent="0.25">
      <c r="A29">
        <v>1260</v>
      </c>
      <c r="B29">
        <v>0</v>
      </c>
      <c r="C29" t="s">
        <v>41</v>
      </c>
      <c r="D29">
        <v>297</v>
      </c>
      <c r="E29">
        <v>295.75</v>
      </c>
      <c r="F29">
        <v>295.75</v>
      </c>
      <c r="G29">
        <v>297.25</v>
      </c>
      <c r="H29">
        <v>294.75</v>
      </c>
      <c r="I29">
        <v>293.375</v>
      </c>
      <c r="J29">
        <v>297.875</v>
      </c>
      <c r="K29">
        <v>296</v>
      </c>
      <c r="L29">
        <v>295.375</v>
      </c>
      <c r="M29">
        <v>297.75</v>
      </c>
      <c r="N29">
        <v>295.75</v>
      </c>
      <c r="O29">
        <v>296.875</v>
      </c>
      <c r="P29">
        <v>295.5</v>
      </c>
      <c r="Q29">
        <v>297.625</v>
      </c>
      <c r="R29">
        <v>295.625</v>
      </c>
      <c r="S29">
        <v>295.875</v>
      </c>
      <c r="T29">
        <v>296.125</v>
      </c>
      <c r="U29">
        <v>298.125</v>
      </c>
      <c r="V29">
        <v>295.25</v>
      </c>
      <c r="W29">
        <v>298.75</v>
      </c>
      <c r="X29" s="21">
        <f t="shared" si="0"/>
        <v>296.31875000000002</v>
      </c>
    </row>
    <row r="30" spans="1:24" x14ac:dyDescent="0.25">
      <c r="A30">
        <v>1280</v>
      </c>
      <c r="B30">
        <v>0</v>
      </c>
      <c r="C30" t="s">
        <v>41</v>
      </c>
      <c r="D30">
        <v>296.25</v>
      </c>
      <c r="E30">
        <v>296.5</v>
      </c>
      <c r="F30">
        <v>297.75</v>
      </c>
      <c r="G30">
        <v>297.25</v>
      </c>
      <c r="H30">
        <v>297.625</v>
      </c>
      <c r="I30">
        <v>295.375</v>
      </c>
      <c r="J30">
        <v>296.75</v>
      </c>
      <c r="K30">
        <v>296.875</v>
      </c>
      <c r="L30">
        <v>297.125</v>
      </c>
      <c r="M30">
        <v>295.75</v>
      </c>
      <c r="N30">
        <v>297.625</v>
      </c>
      <c r="O30">
        <v>296.25</v>
      </c>
      <c r="P30">
        <v>294.875</v>
      </c>
      <c r="Q30">
        <v>297</v>
      </c>
      <c r="R30">
        <v>296</v>
      </c>
      <c r="S30">
        <v>297.625</v>
      </c>
      <c r="T30">
        <v>295.125</v>
      </c>
      <c r="U30">
        <v>297.375</v>
      </c>
      <c r="V30">
        <v>298.375</v>
      </c>
      <c r="W30">
        <v>296.5</v>
      </c>
      <c r="X30" s="21">
        <f t="shared" si="0"/>
        <v>296.7</v>
      </c>
    </row>
    <row r="31" spans="1:24" x14ac:dyDescent="0.25">
      <c r="A31">
        <v>1300</v>
      </c>
      <c r="B31">
        <v>0</v>
      </c>
      <c r="C31" t="s">
        <v>41</v>
      </c>
      <c r="D31">
        <v>294.875</v>
      </c>
      <c r="E31">
        <v>296.5</v>
      </c>
      <c r="F31">
        <v>295.625</v>
      </c>
      <c r="G31">
        <v>296.125</v>
      </c>
      <c r="H31">
        <v>297.5</v>
      </c>
      <c r="I31">
        <v>295</v>
      </c>
      <c r="J31">
        <v>296.875</v>
      </c>
      <c r="K31">
        <v>295.625</v>
      </c>
      <c r="L31">
        <v>297</v>
      </c>
      <c r="M31">
        <v>298.125</v>
      </c>
      <c r="N31">
        <v>295.125</v>
      </c>
      <c r="O31">
        <v>292.625</v>
      </c>
      <c r="P31">
        <v>295.375</v>
      </c>
      <c r="Q31">
        <v>295.875</v>
      </c>
      <c r="R31">
        <v>297.25</v>
      </c>
      <c r="S31">
        <v>295.75</v>
      </c>
      <c r="T31">
        <v>297.375</v>
      </c>
      <c r="U31">
        <v>297.625</v>
      </c>
      <c r="V31">
        <v>296.125</v>
      </c>
      <c r="W31">
        <v>296.125</v>
      </c>
      <c r="X31" s="21">
        <f t="shared" si="0"/>
        <v>296.125</v>
      </c>
    </row>
    <row r="32" spans="1:24" x14ac:dyDescent="0.25">
      <c r="X32" s="32">
        <f>AVERAGE(X1:X31)</f>
        <v>298.07943548387101</v>
      </c>
    </row>
    <row r="37" spans="1:24" x14ac:dyDescent="0.25">
      <c r="A37">
        <v>700</v>
      </c>
      <c r="B37">
        <v>0</v>
      </c>
      <c r="C37" t="s">
        <v>40</v>
      </c>
      <c r="D37">
        <v>308.5</v>
      </c>
      <c r="E37">
        <v>308.875</v>
      </c>
      <c r="F37">
        <v>309.375</v>
      </c>
      <c r="G37">
        <v>310.5</v>
      </c>
      <c r="H37">
        <v>310.375</v>
      </c>
      <c r="I37">
        <v>309</v>
      </c>
      <c r="J37">
        <v>309.75</v>
      </c>
      <c r="K37">
        <v>311.875</v>
      </c>
      <c r="L37">
        <v>309.5</v>
      </c>
      <c r="M37">
        <v>311.375</v>
      </c>
      <c r="N37">
        <v>314.125</v>
      </c>
      <c r="O37">
        <v>311</v>
      </c>
      <c r="P37">
        <v>311.375</v>
      </c>
      <c r="Q37">
        <v>310.875</v>
      </c>
      <c r="R37">
        <v>311.25</v>
      </c>
      <c r="S37">
        <v>310.5</v>
      </c>
      <c r="T37">
        <v>314.5</v>
      </c>
      <c r="U37">
        <v>313.25</v>
      </c>
      <c r="V37">
        <v>312.25</v>
      </c>
      <c r="W37">
        <v>311.125</v>
      </c>
      <c r="X37" s="21">
        <f t="shared" ref="X37:X67" si="1">AVERAGE(D37:W37)</f>
        <v>310.96875</v>
      </c>
    </row>
    <row r="38" spans="1:24" x14ac:dyDescent="0.25">
      <c r="A38">
        <v>720</v>
      </c>
      <c r="B38">
        <v>0</v>
      </c>
      <c r="C38" t="s">
        <v>40</v>
      </c>
      <c r="D38">
        <v>311.125</v>
      </c>
      <c r="E38">
        <v>310.25</v>
      </c>
      <c r="F38">
        <v>311.75</v>
      </c>
      <c r="G38">
        <v>311.5</v>
      </c>
      <c r="H38">
        <v>308.875</v>
      </c>
      <c r="I38">
        <v>310.5</v>
      </c>
      <c r="J38">
        <v>308.75</v>
      </c>
      <c r="K38">
        <v>308.5</v>
      </c>
      <c r="L38">
        <v>310.875</v>
      </c>
      <c r="M38">
        <v>310.125</v>
      </c>
      <c r="N38">
        <v>312</v>
      </c>
      <c r="O38">
        <v>309.125</v>
      </c>
      <c r="P38">
        <v>312.625</v>
      </c>
      <c r="Q38">
        <v>310.625</v>
      </c>
      <c r="R38">
        <v>310.25</v>
      </c>
      <c r="S38">
        <v>309</v>
      </c>
      <c r="T38">
        <v>311</v>
      </c>
      <c r="U38">
        <v>310.875</v>
      </c>
      <c r="V38">
        <v>310.625</v>
      </c>
      <c r="W38">
        <v>310.75</v>
      </c>
      <c r="X38" s="21">
        <f t="shared" si="1"/>
        <v>310.45625000000001</v>
      </c>
    </row>
    <row r="39" spans="1:24" x14ac:dyDescent="0.25">
      <c r="A39">
        <v>740</v>
      </c>
      <c r="B39">
        <v>0</v>
      </c>
      <c r="C39" t="s">
        <v>40</v>
      </c>
      <c r="D39">
        <v>310.5</v>
      </c>
      <c r="E39">
        <v>309</v>
      </c>
      <c r="F39">
        <v>309.25</v>
      </c>
      <c r="G39">
        <v>308.375</v>
      </c>
      <c r="H39">
        <v>310.25</v>
      </c>
      <c r="I39">
        <v>311.375</v>
      </c>
      <c r="J39">
        <v>309.25</v>
      </c>
      <c r="K39">
        <v>310.625</v>
      </c>
      <c r="L39">
        <v>312.5</v>
      </c>
      <c r="M39">
        <v>312.25</v>
      </c>
      <c r="N39">
        <v>309.375</v>
      </c>
      <c r="O39">
        <v>309.5</v>
      </c>
      <c r="P39">
        <v>308</v>
      </c>
      <c r="Q39">
        <v>307.625</v>
      </c>
      <c r="R39">
        <v>309</v>
      </c>
      <c r="S39">
        <v>311.5</v>
      </c>
      <c r="T39">
        <v>313</v>
      </c>
      <c r="U39">
        <v>310.375</v>
      </c>
      <c r="V39">
        <v>311.5</v>
      </c>
      <c r="W39">
        <v>308.625</v>
      </c>
      <c r="X39" s="21">
        <f t="shared" si="1"/>
        <v>310.09375</v>
      </c>
    </row>
    <row r="40" spans="1:24" x14ac:dyDescent="0.25">
      <c r="A40">
        <v>760</v>
      </c>
      <c r="B40">
        <v>0</v>
      </c>
      <c r="C40" t="s">
        <v>40</v>
      </c>
      <c r="D40">
        <v>308.75</v>
      </c>
      <c r="E40">
        <v>309.375</v>
      </c>
      <c r="F40">
        <v>308.75</v>
      </c>
      <c r="G40">
        <v>310</v>
      </c>
      <c r="H40">
        <v>308.125</v>
      </c>
      <c r="I40">
        <v>310</v>
      </c>
      <c r="J40">
        <v>310.25</v>
      </c>
      <c r="K40">
        <v>310.375</v>
      </c>
      <c r="L40">
        <v>310.75</v>
      </c>
      <c r="M40">
        <v>310.5</v>
      </c>
      <c r="N40">
        <v>309.375</v>
      </c>
      <c r="O40">
        <v>307.125</v>
      </c>
      <c r="P40">
        <v>306.875</v>
      </c>
      <c r="Q40">
        <v>309.5</v>
      </c>
      <c r="R40">
        <v>309.375</v>
      </c>
      <c r="S40">
        <v>308.5</v>
      </c>
      <c r="T40">
        <v>311</v>
      </c>
      <c r="U40">
        <v>311.625</v>
      </c>
      <c r="V40">
        <v>307.875</v>
      </c>
      <c r="W40">
        <v>308.875</v>
      </c>
      <c r="X40" s="21">
        <f t="shared" si="1"/>
        <v>309.35000000000002</v>
      </c>
    </row>
    <row r="41" spans="1:24" x14ac:dyDescent="0.25">
      <c r="A41">
        <v>780</v>
      </c>
      <c r="B41">
        <v>0</v>
      </c>
      <c r="C41" t="s">
        <v>40</v>
      </c>
      <c r="D41">
        <v>307.375</v>
      </c>
      <c r="E41">
        <v>309.625</v>
      </c>
      <c r="F41">
        <v>308.25</v>
      </c>
      <c r="G41">
        <v>310</v>
      </c>
      <c r="H41">
        <v>307.875</v>
      </c>
      <c r="I41">
        <v>307.875</v>
      </c>
      <c r="J41">
        <v>307.25</v>
      </c>
      <c r="K41">
        <v>308.25</v>
      </c>
      <c r="L41">
        <v>308.625</v>
      </c>
      <c r="M41">
        <v>309.375</v>
      </c>
      <c r="N41">
        <v>310.5</v>
      </c>
      <c r="O41">
        <v>308.5</v>
      </c>
      <c r="P41">
        <v>311.25</v>
      </c>
      <c r="Q41">
        <v>308.875</v>
      </c>
      <c r="R41">
        <v>307.25</v>
      </c>
      <c r="S41">
        <v>309.25</v>
      </c>
      <c r="T41">
        <v>309</v>
      </c>
      <c r="U41">
        <v>310.5</v>
      </c>
      <c r="V41">
        <v>307.875</v>
      </c>
      <c r="W41">
        <v>309.5</v>
      </c>
      <c r="X41" s="21">
        <f t="shared" si="1"/>
        <v>308.85000000000002</v>
      </c>
    </row>
    <row r="42" spans="1:24" x14ac:dyDescent="0.25">
      <c r="A42">
        <v>800</v>
      </c>
      <c r="B42">
        <v>0</v>
      </c>
      <c r="C42" t="s">
        <v>40</v>
      </c>
      <c r="D42">
        <v>305.625</v>
      </c>
      <c r="E42">
        <v>309</v>
      </c>
      <c r="F42">
        <v>309.125</v>
      </c>
      <c r="G42">
        <v>307.5</v>
      </c>
      <c r="H42">
        <v>307.25</v>
      </c>
      <c r="I42">
        <v>308.875</v>
      </c>
      <c r="J42">
        <v>311.375</v>
      </c>
      <c r="K42">
        <v>309.375</v>
      </c>
      <c r="L42">
        <v>309</v>
      </c>
      <c r="M42">
        <v>309.875</v>
      </c>
      <c r="N42">
        <v>309.75</v>
      </c>
      <c r="O42">
        <v>306.5</v>
      </c>
      <c r="P42">
        <v>307.375</v>
      </c>
      <c r="Q42">
        <v>306.875</v>
      </c>
      <c r="R42">
        <v>308</v>
      </c>
      <c r="S42">
        <v>310.875</v>
      </c>
      <c r="T42">
        <v>308.25</v>
      </c>
      <c r="U42">
        <v>310.375</v>
      </c>
      <c r="V42">
        <v>308.75</v>
      </c>
      <c r="W42">
        <v>309.625</v>
      </c>
      <c r="X42" s="21">
        <f t="shared" si="1"/>
        <v>308.66874999999999</v>
      </c>
    </row>
    <row r="43" spans="1:24" x14ac:dyDescent="0.25">
      <c r="A43">
        <v>820</v>
      </c>
      <c r="B43">
        <v>0</v>
      </c>
      <c r="C43" t="s">
        <v>40</v>
      </c>
      <c r="D43">
        <v>308.625</v>
      </c>
      <c r="E43">
        <v>308.125</v>
      </c>
      <c r="F43">
        <v>307</v>
      </c>
      <c r="G43">
        <v>306.375</v>
      </c>
      <c r="H43">
        <v>308.75</v>
      </c>
      <c r="I43">
        <v>309.875</v>
      </c>
      <c r="J43">
        <v>307.25</v>
      </c>
      <c r="K43">
        <v>309.625</v>
      </c>
      <c r="L43">
        <v>309.5</v>
      </c>
      <c r="M43">
        <v>310.5</v>
      </c>
      <c r="N43">
        <v>309.875</v>
      </c>
      <c r="O43">
        <v>307.25</v>
      </c>
      <c r="P43">
        <v>307.875</v>
      </c>
      <c r="Q43">
        <v>309.5</v>
      </c>
      <c r="R43">
        <v>308.5</v>
      </c>
      <c r="S43">
        <v>308.625</v>
      </c>
      <c r="T43">
        <v>308.75</v>
      </c>
      <c r="U43">
        <v>309</v>
      </c>
      <c r="V43">
        <v>308</v>
      </c>
      <c r="W43">
        <v>307</v>
      </c>
      <c r="X43" s="21">
        <f t="shared" si="1"/>
        <v>308.5</v>
      </c>
    </row>
    <row r="44" spans="1:24" x14ac:dyDescent="0.25">
      <c r="A44">
        <v>840</v>
      </c>
      <c r="B44">
        <v>0</v>
      </c>
      <c r="C44" t="s">
        <v>40</v>
      </c>
      <c r="D44">
        <v>306.75</v>
      </c>
      <c r="E44">
        <v>307.5</v>
      </c>
      <c r="F44">
        <v>307.5</v>
      </c>
      <c r="G44">
        <v>309</v>
      </c>
      <c r="H44">
        <v>307.375</v>
      </c>
      <c r="I44">
        <v>307.5</v>
      </c>
      <c r="J44">
        <v>308.75</v>
      </c>
      <c r="K44">
        <v>306.375</v>
      </c>
      <c r="L44">
        <v>307.25</v>
      </c>
      <c r="M44">
        <v>308.75</v>
      </c>
      <c r="N44">
        <v>304.625</v>
      </c>
      <c r="O44">
        <v>308.125</v>
      </c>
      <c r="P44">
        <v>308.875</v>
      </c>
      <c r="Q44">
        <v>306.25</v>
      </c>
      <c r="R44">
        <v>307.875</v>
      </c>
      <c r="S44">
        <v>307.875</v>
      </c>
      <c r="T44">
        <v>307.75</v>
      </c>
      <c r="U44">
        <v>305.375</v>
      </c>
      <c r="V44">
        <v>308.125</v>
      </c>
      <c r="W44">
        <v>306</v>
      </c>
      <c r="X44" s="21">
        <f t="shared" si="1"/>
        <v>307.38125000000002</v>
      </c>
    </row>
    <row r="45" spans="1:24" x14ac:dyDescent="0.25">
      <c r="A45">
        <v>860</v>
      </c>
      <c r="B45">
        <v>0</v>
      </c>
      <c r="C45" t="s">
        <v>40</v>
      </c>
      <c r="D45">
        <v>307.5</v>
      </c>
      <c r="E45">
        <v>307.75</v>
      </c>
      <c r="F45">
        <v>308.5</v>
      </c>
      <c r="G45">
        <v>308.25</v>
      </c>
      <c r="H45">
        <v>307</v>
      </c>
      <c r="I45">
        <v>306.875</v>
      </c>
      <c r="J45">
        <v>307.625</v>
      </c>
      <c r="K45">
        <v>311.5</v>
      </c>
      <c r="L45">
        <v>308.25</v>
      </c>
      <c r="M45">
        <v>307.125</v>
      </c>
      <c r="N45">
        <v>304.875</v>
      </c>
      <c r="O45">
        <v>308.75</v>
      </c>
      <c r="P45">
        <v>309</v>
      </c>
      <c r="Q45">
        <v>309.375</v>
      </c>
      <c r="R45">
        <v>308.125</v>
      </c>
      <c r="S45">
        <v>307.625</v>
      </c>
      <c r="T45">
        <v>306.375</v>
      </c>
      <c r="U45">
        <v>307</v>
      </c>
      <c r="V45">
        <v>307.5</v>
      </c>
      <c r="W45">
        <v>308.25</v>
      </c>
      <c r="X45" s="21">
        <f t="shared" si="1"/>
        <v>307.86250000000001</v>
      </c>
    </row>
    <row r="46" spans="1:24" x14ac:dyDescent="0.25">
      <c r="A46">
        <v>880</v>
      </c>
      <c r="B46">
        <v>0</v>
      </c>
      <c r="C46" t="s">
        <v>40</v>
      </c>
      <c r="D46">
        <v>306.5</v>
      </c>
      <c r="E46">
        <v>306.625</v>
      </c>
      <c r="F46">
        <v>306.5</v>
      </c>
      <c r="G46">
        <v>308.375</v>
      </c>
      <c r="H46">
        <v>306.625</v>
      </c>
      <c r="I46">
        <v>306.125</v>
      </c>
      <c r="J46">
        <v>305.625</v>
      </c>
      <c r="K46">
        <v>307.5</v>
      </c>
      <c r="L46">
        <v>307.875</v>
      </c>
      <c r="M46">
        <v>311</v>
      </c>
      <c r="N46">
        <v>308.875</v>
      </c>
      <c r="O46">
        <v>311.125</v>
      </c>
      <c r="P46">
        <v>307.125</v>
      </c>
      <c r="Q46">
        <v>306.875</v>
      </c>
      <c r="R46">
        <v>306</v>
      </c>
      <c r="S46">
        <v>306.25</v>
      </c>
      <c r="T46">
        <v>309.375</v>
      </c>
      <c r="U46">
        <v>308.75</v>
      </c>
      <c r="V46">
        <v>305.375</v>
      </c>
      <c r="W46">
        <v>306.25</v>
      </c>
      <c r="X46" s="21">
        <f t="shared" si="1"/>
        <v>307.4375</v>
      </c>
    </row>
    <row r="47" spans="1:24" x14ac:dyDescent="0.25">
      <c r="A47">
        <v>900</v>
      </c>
      <c r="B47">
        <v>0</v>
      </c>
      <c r="C47" t="s">
        <v>40</v>
      </c>
      <c r="D47">
        <v>307.375</v>
      </c>
      <c r="E47">
        <v>306.625</v>
      </c>
      <c r="F47">
        <v>304.75</v>
      </c>
      <c r="G47">
        <v>308.125</v>
      </c>
      <c r="H47">
        <v>305.875</v>
      </c>
      <c r="I47">
        <v>306.625</v>
      </c>
      <c r="J47">
        <v>306.375</v>
      </c>
      <c r="K47">
        <v>306</v>
      </c>
      <c r="L47">
        <v>307.875</v>
      </c>
      <c r="M47">
        <v>308.25</v>
      </c>
      <c r="N47">
        <v>307.25</v>
      </c>
      <c r="O47">
        <v>307.375</v>
      </c>
      <c r="P47">
        <v>306</v>
      </c>
      <c r="Q47">
        <v>307.75</v>
      </c>
      <c r="R47">
        <v>308.75</v>
      </c>
      <c r="S47">
        <v>306.125</v>
      </c>
      <c r="T47">
        <v>308.875</v>
      </c>
      <c r="U47">
        <v>306.25</v>
      </c>
      <c r="V47">
        <v>304.875</v>
      </c>
      <c r="W47">
        <v>308.25</v>
      </c>
      <c r="X47" s="21">
        <f t="shared" si="1"/>
        <v>306.96875</v>
      </c>
    </row>
    <row r="48" spans="1:24" x14ac:dyDescent="0.25">
      <c r="A48">
        <v>920</v>
      </c>
      <c r="B48">
        <v>0</v>
      </c>
      <c r="C48" t="s">
        <v>40</v>
      </c>
      <c r="D48">
        <v>307.125</v>
      </c>
      <c r="E48">
        <v>307.125</v>
      </c>
      <c r="F48">
        <v>307</v>
      </c>
      <c r="G48">
        <v>307.625</v>
      </c>
      <c r="H48">
        <v>306</v>
      </c>
      <c r="I48">
        <v>307.625</v>
      </c>
      <c r="J48">
        <v>308.625</v>
      </c>
      <c r="K48">
        <v>307.125</v>
      </c>
      <c r="L48">
        <v>308.5</v>
      </c>
      <c r="M48">
        <v>308.125</v>
      </c>
      <c r="N48">
        <v>306.125</v>
      </c>
      <c r="O48">
        <v>304.375</v>
      </c>
      <c r="P48">
        <v>306</v>
      </c>
      <c r="Q48">
        <v>306.625</v>
      </c>
      <c r="R48">
        <v>307.875</v>
      </c>
      <c r="S48">
        <v>307.625</v>
      </c>
      <c r="T48">
        <v>307.375</v>
      </c>
      <c r="U48">
        <v>302.875</v>
      </c>
      <c r="V48">
        <v>304.75</v>
      </c>
      <c r="W48">
        <v>305.375</v>
      </c>
      <c r="X48" s="21">
        <f t="shared" si="1"/>
        <v>306.69375000000002</v>
      </c>
    </row>
    <row r="49" spans="1:24" x14ac:dyDescent="0.25">
      <c r="A49">
        <v>940</v>
      </c>
      <c r="B49">
        <v>0</v>
      </c>
      <c r="C49" t="s">
        <v>40</v>
      </c>
      <c r="D49">
        <v>307.5</v>
      </c>
      <c r="E49">
        <v>305.75</v>
      </c>
      <c r="F49">
        <v>306</v>
      </c>
      <c r="G49">
        <v>308</v>
      </c>
      <c r="H49">
        <v>307.25</v>
      </c>
      <c r="I49">
        <v>306.625</v>
      </c>
      <c r="J49">
        <v>307</v>
      </c>
      <c r="K49">
        <v>308.125</v>
      </c>
      <c r="L49">
        <v>308.875</v>
      </c>
      <c r="M49">
        <v>305.875</v>
      </c>
      <c r="N49">
        <v>308</v>
      </c>
      <c r="O49">
        <v>307.125</v>
      </c>
      <c r="P49">
        <v>307.25</v>
      </c>
      <c r="Q49">
        <v>307.5</v>
      </c>
      <c r="R49">
        <v>307.125</v>
      </c>
      <c r="S49">
        <v>307.75</v>
      </c>
      <c r="T49">
        <v>305.375</v>
      </c>
      <c r="U49">
        <v>306.125</v>
      </c>
      <c r="V49">
        <v>305.875</v>
      </c>
      <c r="W49">
        <v>306.875</v>
      </c>
      <c r="X49" s="21">
        <f t="shared" si="1"/>
        <v>307</v>
      </c>
    </row>
    <row r="50" spans="1:24" x14ac:dyDescent="0.25">
      <c r="A50">
        <v>960</v>
      </c>
      <c r="B50">
        <v>0</v>
      </c>
      <c r="C50" t="s">
        <v>40</v>
      </c>
      <c r="D50">
        <v>305.375</v>
      </c>
      <c r="E50">
        <v>305.25</v>
      </c>
      <c r="F50">
        <v>305.125</v>
      </c>
      <c r="G50">
        <v>306</v>
      </c>
      <c r="H50">
        <v>305.5</v>
      </c>
      <c r="I50">
        <v>306.875</v>
      </c>
      <c r="J50">
        <v>308</v>
      </c>
      <c r="K50">
        <v>305.25</v>
      </c>
      <c r="L50">
        <v>305</v>
      </c>
      <c r="M50">
        <v>304.875</v>
      </c>
      <c r="N50">
        <v>307.5</v>
      </c>
      <c r="O50">
        <v>305.25</v>
      </c>
      <c r="P50">
        <v>305.25</v>
      </c>
      <c r="Q50">
        <v>304.75</v>
      </c>
      <c r="R50">
        <v>304.375</v>
      </c>
      <c r="S50">
        <v>304.5</v>
      </c>
      <c r="T50">
        <v>304.75</v>
      </c>
      <c r="U50">
        <v>304</v>
      </c>
      <c r="V50">
        <v>310.375</v>
      </c>
      <c r="W50">
        <v>305.625</v>
      </c>
      <c r="X50" s="21">
        <f t="shared" si="1"/>
        <v>305.68124999999998</v>
      </c>
    </row>
    <row r="51" spans="1:24" x14ac:dyDescent="0.25">
      <c r="A51">
        <v>980</v>
      </c>
      <c r="B51">
        <v>0</v>
      </c>
      <c r="C51" t="s">
        <v>40</v>
      </c>
      <c r="D51">
        <v>305.625</v>
      </c>
      <c r="E51">
        <v>306.125</v>
      </c>
      <c r="F51">
        <v>307.375</v>
      </c>
      <c r="G51">
        <v>307.5</v>
      </c>
      <c r="H51">
        <v>308.25</v>
      </c>
      <c r="I51">
        <v>306.625</v>
      </c>
      <c r="J51">
        <v>304.875</v>
      </c>
      <c r="K51">
        <v>305.75</v>
      </c>
      <c r="L51">
        <v>304.5</v>
      </c>
      <c r="M51">
        <v>305</v>
      </c>
      <c r="N51">
        <v>306.125</v>
      </c>
      <c r="O51">
        <v>305.875</v>
      </c>
      <c r="P51">
        <v>306.5</v>
      </c>
      <c r="Q51">
        <v>306.5</v>
      </c>
      <c r="R51">
        <v>304.625</v>
      </c>
      <c r="S51">
        <v>305.375</v>
      </c>
      <c r="T51">
        <v>305.375</v>
      </c>
      <c r="U51">
        <v>305.125</v>
      </c>
      <c r="V51">
        <v>308.875</v>
      </c>
      <c r="W51">
        <v>306.5</v>
      </c>
      <c r="X51" s="21">
        <f t="shared" si="1"/>
        <v>306.125</v>
      </c>
    </row>
    <row r="52" spans="1:24" x14ac:dyDescent="0.25">
      <c r="A52">
        <v>1000</v>
      </c>
      <c r="B52">
        <v>0</v>
      </c>
      <c r="C52" t="s">
        <v>40</v>
      </c>
      <c r="D52">
        <v>305.375</v>
      </c>
      <c r="E52">
        <v>306.75</v>
      </c>
      <c r="F52">
        <v>308.5</v>
      </c>
      <c r="G52">
        <v>306.75</v>
      </c>
      <c r="H52">
        <v>306.375</v>
      </c>
      <c r="I52">
        <v>305.5</v>
      </c>
      <c r="J52">
        <v>304.75</v>
      </c>
      <c r="K52">
        <v>305.75</v>
      </c>
      <c r="L52">
        <v>305.5</v>
      </c>
      <c r="M52">
        <v>304.375</v>
      </c>
      <c r="N52">
        <v>305.875</v>
      </c>
      <c r="O52">
        <v>305.75</v>
      </c>
      <c r="P52">
        <v>306</v>
      </c>
      <c r="Q52">
        <v>307.375</v>
      </c>
      <c r="R52">
        <v>307.125</v>
      </c>
      <c r="S52">
        <v>309.125</v>
      </c>
      <c r="T52">
        <v>306.125</v>
      </c>
      <c r="U52">
        <v>306.625</v>
      </c>
      <c r="V52">
        <v>302.5</v>
      </c>
      <c r="W52">
        <v>303.875</v>
      </c>
      <c r="X52" s="21">
        <f t="shared" si="1"/>
        <v>306</v>
      </c>
    </row>
    <row r="53" spans="1:24" x14ac:dyDescent="0.25">
      <c r="A53">
        <v>1020</v>
      </c>
      <c r="B53">
        <v>0</v>
      </c>
      <c r="C53" t="s">
        <v>40</v>
      </c>
      <c r="D53">
        <v>307.375</v>
      </c>
      <c r="E53">
        <v>304.375</v>
      </c>
      <c r="F53">
        <v>306.125</v>
      </c>
      <c r="G53">
        <v>307.375</v>
      </c>
      <c r="H53">
        <v>305.25</v>
      </c>
      <c r="I53">
        <v>305.875</v>
      </c>
      <c r="J53">
        <v>305.25</v>
      </c>
      <c r="K53">
        <v>301.125</v>
      </c>
      <c r="L53">
        <v>303.25</v>
      </c>
      <c r="M53">
        <v>307</v>
      </c>
      <c r="N53">
        <v>305.5</v>
      </c>
      <c r="O53">
        <v>303.875</v>
      </c>
      <c r="P53">
        <v>304</v>
      </c>
      <c r="Q53">
        <v>307.5</v>
      </c>
      <c r="R53">
        <v>304.875</v>
      </c>
      <c r="S53">
        <v>305</v>
      </c>
      <c r="T53">
        <v>305.75</v>
      </c>
      <c r="U53">
        <v>300.75</v>
      </c>
      <c r="V53">
        <v>303.625</v>
      </c>
      <c r="W53">
        <v>305.5</v>
      </c>
      <c r="X53" s="21">
        <f t="shared" si="1"/>
        <v>304.96875</v>
      </c>
    </row>
    <row r="54" spans="1:24" x14ac:dyDescent="0.25">
      <c r="A54">
        <v>1040</v>
      </c>
      <c r="B54">
        <v>0</v>
      </c>
      <c r="C54" t="s">
        <v>40</v>
      </c>
      <c r="D54">
        <v>304.625</v>
      </c>
      <c r="E54">
        <v>307.5</v>
      </c>
      <c r="F54">
        <v>307.5</v>
      </c>
      <c r="G54">
        <v>309.25</v>
      </c>
      <c r="H54">
        <v>304.875</v>
      </c>
      <c r="I54">
        <v>305</v>
      </c>
      <c r="J54">
        <v>307.25</v>
      </c>
      <c r="K54">
        <v>304.25</v>
      </c>
      <c r="L54">
        <v>306.375</v>
      </c>
      <c r="M54">
        <v>305.875</v>
      </c>
      <c r="N54">
        <v>304.875</v>
      </c>
      <c r="O54">
        <v>304.5</v>
      </c>
      <c r="P54">
        <v>305.875</v>
      </c>
      <c r="Q54">
        <v>306.125</v>
      </c>
      <c r="R54">
        <v>306.875</v>
      </c>
      <c r="S54">
        <v>304.875</v>
      </c>
      <c r="T54">
        <v>305</v>
      </c>
      <c r="U54">
        <v>306.375</v>
      </c>
      <c r="V54">
        <v>307.125</v>
      </c>
      <c r="W54">
        <v>307.625</v>
      </c>
      <c r="X54" s="21">
        <f t="shared" si="1"/>
        <v>306.08749999999998</v>
      </c>
    </row>
    <row r="55" spans="1:24" x14ac:dyDescent="0.25">
      <c r="A55">
        <v>1060</v>
      </c>
      <c r="B55">
        <v>0</v>
      </c>
      <c r="C55" t="s">
        <v>40</v>
      </c>
      <c r="D55">
        <v>305.625</v>
      </c>
      <c r="E55">
        <v>304</v>
      </c>
      <c r="F55">
        <v>307.75</v>
      </c>
      <c r="G55">
        <v>306.125</v>
      </c>
      <c r="H55">
        <v>305.125</v>
      </c>
      <c r="I55">
        <v>305.375</v>
      </c>
      <c r="J55">
        <v>304.75</v>
      </c>
      <c r="K55">
        <v>307.75</v>
      </c>
      <c r="L55">
        <v>304.5</v>
      </c>
      <c r="M55">
        <v>305.25</v>
      </c>
      <c r="N55">
        <v>304.875</v>
      </c>
      <c r="O55">
        <v>303.875</v>
      </c>
      <c r="P55">
        <v>305.375</v>
      </c>
      <c r="Q55">
        <v>304</v>
      </c>
      <c r="R55">
        <v>303.75</v>
      </c>
      <c r="S55">
        <v>305.5</v>
      </c>
      <c r="T55">
        <v>307</v>
      </c>
      <c r="U55">
        <v>306</v>
      </c>
      <c r="V55">
        <v>305.125</v>
      </c>
      <c r="W55">
        <v>304.875</v>
      </c>
      <c r="X55" s="21">
        <f t="shared" si="1"/>
        <v>305.33125000000001</v>
      </c>
    </row>
    <row r="56" spans="1:24" x14ac:dyDescent="0.25">
      <c r="A56">
        <v>1080</v>
      </c>
      <c r="B56">
        <v>0</v>
      </c>
      <c r="C56" t="s">
        <v>40</v>
      </c>
      <c r="D56">
        <v>308.375</v>
      </c>
      <c r="E56">
        <v>304.875</v>
      </c>
      <c r="F56">
        <v>305</v>
      </c>
      <c r="G56">
        <v>304</v>
      </c>
      <c r="H56">
        <v>303.125</v>
      </c>
      <c r="I56">
        <v>305.625</v>
      </c>
      <c r="J56">
        <v>304.75</v>
      </c>
      <c r="K56">
        <v>302.125</v>
      </c>
      <c r="L56">
        <v>304</v>
      </c>
      <c r="M56">
        <v>305.875</v>
      </c>
      <c r="N56">
        <v>304.375</v>
      </c>
      <c r="O56">
        <v>302.625</v>
      </c>
      <c r="P56">
        <v>302.875</v>
      </c>
      <c r="Q56">
        <v>304.75</v>
      </c>
      <c r="R56">
        <v>302.75</v>
      </c>
      <c r="S56">
        <v>305.875</v>
      </c>
      <c r="T56">
        <v>305.625</v>
      </c>
      <c r="U56">
        <v>304</v>
      </c>
      <c r="V56">
        <v>303.75</v>
      </c>
      <c r="W56">
        <v>305</v>
      </c>
      <c r="X56" s="21">
        <f t="shared" si="1"/>
        <v>304.46875</v>
      </c>
    </row>
    <row r="57" spans="1:24" x14ac:dyDescent="0.25">
      <c r="A57">
        <v>1100</v>
      </c>
      <c r="B57">
        <v>0</v>
      </c>
      <c r="C57" t="s">
        <v>40</v>
      </c>
      <c r="D57">
        <v>304.5</v>
      </c>
      <c r="E57">
        <v>305.5</v>
      </c>
      <c r="F57">
        <v>306.75</v>
      </c>
      <c r="G57">
        <v>305.625</v>
      </c>
      <c r="H57">
        <v>305</v>
      </c>
      <c r="I57">
        <v>305.125</v>
      </c>
      <c r="J57">
        <v>302.875</v>
      </c>
      <c r="K57">
        <v>302.5</v>
      </c>
      <c r="L57">
        <v>302.625</v>
      </c>
      <c r="M57">
        <v>303.25</v>
      </c>
      <c r="N57">
        <v>303.625</v>
      </c>
      <c r="O57">
        <v>302.625</v>
      </c>
      <c r="P57">
        <v>302.625</v>
      </c>
      <c r="Q57">
        <v>304.375</v>
      </c>
      <c r="R57">
        <v>302.875</v>
      </c>
      <c r="S57">
        <v>302.375</v>
      </c>
      <c r="T57">
        <v>302.375</v>
      </c>
      <c r="U57">
        <v>302.875</v>
      </c>
      <c r="V57">
        <v>306.5</v>
      </c>
      <c r="W57">
        <v>302.625</v>
      </c>
      <c r="X57" s="21">
        <f t="shared" si="1"/>
        <v>303.83125000000001</v>
      </c>
    </row>
    <row r="58" spans="1:24" x14ac:dyDescent="0.25">
      <c r="A58">
        <v>1120</v>
      </c>
      <c r="B58">
        <v>0</v>
      </c>
      <c r="C58" t="s">
        <v>40</v>
      </c>
      <c r="D58">
        <v>302.25</v>
      </c>
      <c r="E58">
        <v>303.25</v>
      </c>
      <c r="F58">
        <v>303.75</v>
      </c>
      <c r="G58">
        <v>302.625</v>
      </c>
      <c r="H58">
        <v>302.5</v>
      </c>
      <c r="I58">
        <v>302.375</v>
      </c>
      <c r="J58">
        <v>303.875</v>
      </c>
      <c r="K58">
        <v>304.5</v>
      </c>
      <c r="L58">
        <v>302.75</v>
      </c>
      <c r="M58">
        <v>303.25</v>
      </c>
      <c r="N58">
        <v>306</v>
      </c>
      <c r="O58">
        <v>305</v>
      </c>
      <c r="P58">
        <v>304.75</v>
      </c>
      <c r="Q58">
        <v>303.125</v>
      </c>
      <c r="R58">
        <v>304.25</v>
      </c>
      <c r="S58">
        <v>305.875</v>
      </c>
      <c r="T58">
        <v>303.75</v>
      </c>
      <c r="U58">
        <v>303</v>
      </c>
      <c r="V58">
        <v>304.875</v>
      </c>
      <c r="W58">
        <v>306.75</v>
      </c>
      <c r="X58" s="21">
        <f t="shared" si="1"/>
        <v>303.92500000000001</v>
      </c>
    </row>
    <row r="59" spans="1:24" x14ac:dyDescent="0.25">
      <c r="A59">
        <v>1140</v>
      </c>
      <c r="B59">
        <v>0</v>
      </c>
      <c r="C59" t="s">
        <v>40</v>
      </c>
      <c r="D59">
        <v>302.875</v>
      </c>
      <c r="E59">
        <v>305.875</v>
      </c>
      <c r="F59">
        <v>304.375</v>
      </c>
      <c r="G59">
        <v>304.875</v>
      </c>
      <c r="H59">
        <v>305.625</v>
      </c>
      <c r="I59">
        <v>305.125</v>
      </c>
      <c r="J59">
        <v>304.25</v>
      </c>
      <c r="K59">
        <v>303.25</v>
      </c>
      <c r="L59">
        <v>304.25</v>
      </c>
      <c r="M59">
        <v>305.5</v>
      </c>
      <c r="N59">
        <v>304.75</v>
      </c>
      <c r="O59">
        <v>303.375</v>
      </c>
      <c r="P59">
        <v>304</v>
      </c>
      <c r="Q59">
        <v>303.5</v>
      </c>
      <c r="R59">
        <v>304.375</v>
      </c>
      <c r="S59">
        <v>303.875</v>
      </c>
      <c r="T59">
        <v>303.375</v>
      </c>
      <c r="U59">
        <v>303.125</v>
      </c>
      <c r="V59">
        <v>304</v>
      </c>
      <c r="W59">
        <v>304.125</v>
      </c>
      <c r="X59" s="21">
        <f t="shared" si="1"/>
        <v>304.22500000000002</v>
      </c>
    </row>
    <row r="60" spans="1:24" x14ac:dyDescent="0.25">
      <c r="A60">
        <v>1160</v>
      </c>
      <c r="B60">
        <v>0</v>
      </c>
      <c r="C60" t="s">
        <v>40</v>
      </c>
      <c r="D60">
        <v>303.875</v>
      </c>
      <c r="E60">
        <v>304.25</v>
      </c>
      <c r="F60">
        <v>303</v>
      </c>
      <c r="G60">
        <v>304</v>
      </c>
      <c r="H60">
        <v>302.25</v>
      </c>
      <c r="I60">
        <v>302.75</v>
      </c>
      <c r="J60">
        <v>302.25</v>
      </c>
      <c r="K60">
        <v>302.125</v>
      </c>
      <c r="L60">
        <v>304</v>
      </c>
      <c r="M60">
        <v>302.375</v>
      </c>
      <c r="N60">
        <v>302.125</v>
      </c>
      <c r="O60">
        <v>304.125</v>
      </c>
      <c r="P60">
        <v>305.75</v>
      </c>
      <c r="Q60">
        <v>304</v>
      </c>
      <c r="R60">
        <v>301.625</v>
      </c>
      <c r="S60">
        <v>304.125</v>
      </c>
      <c r="T60">
        <v>305.125</v>
      </c>
      <c r="U60">
        <v>303.25</v>
      </c>
      <c r="V60">
        <v>302.625</v>
      </c>
      <c r="W60">
        <v>305</v>
      </c>
      <c r="X60" s="21">
        <f t="shared" si="1"/>
        <v>303.43124999999998</v>
      </c>
    </row>
    <row r="61" spans="1:24" x14ac:dyDescent="0.25">
      <c r="A61">
        <v>1180</v>
      </c>
      <c r="B61">
        <v>0</v>
      </c>
      <c r="C61" t="s">
        <v>40</v>
      </c>
      <c r="D61">
        <v>303.375</v>
      </c>
      <c r="E61">
        <v>303.125</v>
      </c>
      <c r="F61">
        <v>304.625</v>
      </c>
      <c r="G61">
        <v>303.625</v>
      </c>
      <c r="H61">
        <v>304</v>
      </c>
      <c r="I61">
        <v>304</v>
      </c>
      <c r="J61">
        <v>304.875</v>
      </c>
      <c r="K61">
        <v>303.625</v>
      </c>
      <c r="L61">
        <v>303.625</v>
      </c>
      <c r="M61">
        <v>301.625</v>
      </c>
      <c r="N61">
        <v>303</v>
      </c>
      <c r="O61">
        <v>304.25</v>
      </c>
      <c r="P61">
        <v>304.25</v>
      </c>
      <c r="Q61">
        <v>305</v>
      </c>
      <c r="R61">
        <v>302.25</v>
      </c>
      <c r="S61">
        <v>303.375</v>
      </c>
      <c r="T61">
        <v>304.125</v>
      </c>
      <c r="U61">
        <v>305</v>
      </c>
      <c r="V61">
        <v>301.75</v>
      </c>
      <c r="W61">
        <v>304.625</v>
      </c>
      <c r="X61" s="21">
        <f t="shared" si="1"/>
        <v>303.70625000000001</v>
      </c>
    </row>
    <row r="62" spans="1:24" x14ac:dyDescent="0.25">
      <c r="A62">
        <v>1200</v>
      </c>
      <c r="B62">
        <v>0</v>
      </c>
      <c r="C62" t="s">
        <v>40</v>
      </c>
      <c r="D62">
        <v>302.75</v>
      </c>
      <c r="E62">
        <v>302.875</v>
      </c>
      <c r="F62">
        <v>306.125</v>
      </c>
      <c r="G62">
        <v>303.875</v>
      </c>
      <c r="H62">
        <v>304.25</v>
      </c>
      <c r="I62">
        <v>304.25</v>
      </c>
      <c r="J62">
        <v>305</v>
      </c>
      <c r="K62">
        <v>302.375</v>
      </c>
      <c r="L62">
        <v>304.375</v>
      </c>
      <c r="M62">
        <v>303.875</v>
      </c>
      <c r="N62">
        <v>303.875</v>
      </c>
      <c r="O62">
        <v>303.125</v>
      </c>
      <c r="P62">
        <v>304.375</v>
      </c>
      <c r="Q62">
        <v>304.125</v>
      </c>
      <c r="R62">
        <v>304.875</v>
      </c>
      <c r="S62">
        <v>303</v>
      </c>
      <c r="T62">
        <v>304.625</v>
      </c>
      <c r="U62">
        <v>302.25</v>
      </c>
      <c r="V62">
        <v>305</v>
      </c>
      <c r="W62">
        <v>303.875</v>
      </c>
      <c r="X62" s="21">
        <f t="shared" si="1"/>
        <v>303.94375000000002</v>
      </c>
    </row>
    <row r="63" spans="1:24" x14ac:dyDescent="0.25">
      <c r="A63">
        <v>1220</v>
      </c>
      <c r="B63">
        <v>0</v>
      </c>
      <c r="C63" t="s">
        <v>40</v>
      </c>
      <c r="D63">
        <v>302.375</v>
      </c>
      <c r="E63">
        <v>303.375</v>
      </c>
      <c r="F63">
        <v>302.375</v>
      </c>
      <c r="G63">
        <v>304.25</v>
      </c>
      <c r="H63">
        <v>302.75</v>
      </c>
      <c r="I63">
        <v>305.25</v>
      </c>
      <c r="J63">
        <v>304</v>
      </c>
      <c r="K63">
        <v>306</v>
      </c>
      <c r="L63">
        <v>304.125</v>
      </c>
      <c r="M63">
        <v>302.625</v>
      </c>
      <c r="N63">
        <v>302.75</v>
      </c>
      <c r="O63">
        <v>305</v>
      </c>
      <c r="P63">
        <v>303.75</v>
      </c>
      <c r="Q63">
        <v>305.5</v>
      </c>
      <c r="R63">
        <v>305.25</v>
      </c>
      <c r="S63">
        <v>303.625</v>
      </c>
      <c r="T63">
        <v>304.25</v>
      </c>
      <c r="U63">
        <v>301.875</v>
      </c>
      <c r="V63">
        <v>302.125</v>
      </c>
      <c r="W63">
        <v>303.375</v>
      </c>
      <c r="X63" s="21">
        <f t="shared" si="1"/>
        <v>303.73124999999999</v>
      </c>
    </row>
    <row r="64" spans="1:24" x14ac:dyDescent="0.25">
      <c r="A64">
        <v>1240</v>
      </c>
      <c r="B64">
        <v>0</v>
      </c>
      <c r="C64" t="s">
        <v>40</v>
      </c>
      <c r="D64">
        <v>303.125</v>
      </c>
      <c r="E64">
        <v>301.75</v>
      </c>
      <c r="F64">
        <v>302.5</v>
      </c>
      <c r="G64">
        <v>300.375</v>
      </c>
      <c r="H64">
        <v>304.625</v>
      </c>
      <c r="I64">
        <v>302.375</v>
      </c>
      <c r="J64">
        <v>300.875</v>
      </c>
      <c r="K64">
        <v>303.875</v>
      </c>
      <c r="L64">
        <v>302.5</v>
      </c>
      <c r="M64">
        <v>304.75</v>
      </c>
      <c r="N64">
        <v>303.375</v>
      </c>
      <c r="O64">
        <v>302.625</v>
      </c>
      <c r="P64">
        <v>302.5</v>
      </c>
      <c r="Q64">
        <v>302.25</v>
      </c>
      <c r="R64">
        <v>303.5</v>
      </c>
      <c r="S64">
        <v>303.625</v>
      </c>
      <c r="T64">
        <v>302.5</v>
      </c>
      <c r="U64">
        <v>304.5</v>
      </c>
      <c r="V64">
        <v>303.375</v>
      </c>
      <c r="W64">
        <v>303.125</v>
      </c>
      <c r="X64" s="21">
        <f t="shared" si="1"/>
        <v>302.90625</v>
      </c>
    </row>
    <row r="65" spans="1:24" x14ac:dyDescent="0.25">
      <c r="A65">
        <v>1260</v>
      </c>
      <c r="B65">
        <v>0</v>
      </c>
      <c r="C65" t="s">
        <v>40</v>
      </c>
      <c r="D65">
        <v>302.5</v>
      </c>
      <c r="E65">
        <v>301.25</v>
      </c>
      <c r="F65">
        <v>302.375</v>
      </c>
      <c r="G65">
        <v>304.5</v>
      </c>
      <c r="H65">
        <v>301.375</v>
      </c>
      <c r="I65">
        <v>301.25</v>
      </c>
      <c r="J65">
        <v>304.5</v>
      </c>
      <c r="K65">
        <v>301.125</v>
      </c>
      <c r="L65">
        <v>304.5</v>
      </c>
      <c r="M65">
        <v>303.75</v>
      </c>
      <c r="N65">
        <v>302</v>
      </c>
      <c r="O65">
        <v>304.5</v>
      </c>
      <c r="P65">
        <v>300.5</v>
      </c>
      <c r="Q65">
        <v>303.75</v>
      </c>
      <c r="R65">
        <v>304.25</v>
      </c>
      <c r="S65">
        <v>305.625</v>
      </c>
      <c r="T65">
        <v>304.125</v>
      </c>
      <c r="U65">
        <v>302.875</v>
      </c>
      <c r="V65">
        <v>301.125</v>
      </c>
      <c r="W65">
        <v>304.875</v>
      </c>
      <c r="X65" s="21">
        <f t="shared" si="1"/>
        <v>303.03750000000002</v>
      </c>
    </row>
    <row r="66" spans="1:24" x14ac:dyDescent="0.25">
      <c r="A66">
        <v>1280</v>
      </c>
      <c r="B66">
        <v>0</v>
      </c>
      <c r="C66" t="s">
        <v>40</v>
      </c>
      <c r="D66">
        <v>303.375</v>
      </c>
      <c r="E66">
        <v>303.625</v>
      </c>
      <c r="F66">
        <v>303.75</v>
      </c>
      <c r="G66">
        <v>304</v>
      </c>
      <c r="H66">
        <v>302.625</v>
      </c>
      <c r="I66">
        <v>304.125</v>
      </c>
      <c r="J66">
        <v>306.25</v>
      </c>
      <c r="K66">
        <v>304.625</v>
      </c>
      <c r="L66">
        <v>305</v>
      </c>
      <c r="M66">
        <v>303.875</v>
      </c>
      <c r="N66">
        <v>306</v>
      </c>
      <c r="O66">
        <v>302.25</v>
      </c>
      <c r="P66">
        <v>303.125</v>
      </c>
      <c r="Q66">
        <v>303.375</v>
      </c>
      <c r="R66">
        <v>303.375</v>
      </c>
      <c r="S66">
        <v>304.375</v>
      </c>
      <c r="T66">
        <v>303.25</v>
      </c>
      <c r="U66">
        <v>303.25</v>
      </c>
      <c r="V66">
        <v>303.625</v>
      </c>
      <c r="W66">
        <v>303.625</v>
      </c>
      <c r="X66" s="21">
        <f t="shared" si="1"/>
        <v>303.875</v>
      </c>
    </row>
    <row r="67" spans="1:24" x14ac:dyDescent="0.25">
      <c r="A67">
        <v>1300</v>
      </c>
      <c r="B67">
        <v>0</v>
      </c>
      <c r="C67" t="s">
        <v>40</v>
      </c>
      <c r="D67">
        <v>303.875</v>
      </c>
      <c r="E67">
        <v>304.75</v>
      </c>
      <c r="F67">
        <v>302.625</v>
      </c>
      <c r="G67">
        <v>304.625</v>
      </c>
      <c r="H67">
        <v>304.25</v>
      </c>
      <c r="I67">
        <v>302.625</v>
      </c>
      <c r="J67">
        <v>302</v>
      </c>
      <c r="K67">
        <v>302.75</v>
      </c>
      <c r="L67">
        <v>303.5</v>
      </c>
      <c r="M67">
        <v>304</v>
      </c>
      <c r="N67">
        <v>302.25</v>
      </c>
      <c r="O67">
        <v>301.625</v>
      </c>
      <c r="P67">
        <v>304.875</v>
      </c>
      <c r="Q67">
        <v>302.125</v>
      </c>
      <c r="R67">
        <v>302.75</v>
      </c>
      <c r="S67">
        <v>303.125</v>
      </c>
      <c r="T67">
        <v>302.625</v>
      </c>
      <c r="U67">
        <v>305.125</v>
      </c>
      <c r="V67">
        <v>304.5</v>
      </c>
      <c r="W67">
        <v>301.625</v>
      </c>
      <c r="X67" s="21">
        <f t="shared" si="1"/>
        <v>303.28125</v>
      </c>
    </row>
    <row r="68" spans="1:24" x14ac:dyDescent="0.25">
      <c r="X68" s="32">
        <f>AVERAGE(X37:X67)</f>
        <v>306.08991935483874</v>
      </c>
    </row>
    <row r="74" spans="1:24" x14ac:dyDescent="0.25">
      <c r="A74">
        <v>700</v>
      </c>
      <c r="B74">
        <v>1</v>
      </c>
      <c r="C74" t="s">
        <v>41</v>
      </c>
      <c r="D74">
        <v>302.25</v>
      </c>
      <c r="E74">
        <v>301.875</v>
      </c>
      <c r="F74">
        <v>300</v>
      </c>
      <c r="G74">
        <v>301</v>
      </c>
      <c r="H74">
        <v>300.625</v>
      </c>
      <c r="I74">
        <v>300.375</v>
      </c>
      <c r="J74">
        <v>302.75</v>
      </c>
      <c r="K74">
        <v>300.375</v>
      </c>
      <c r="L74">
        <v>300.625</v>
      </c>
      <c r="M74">
        <v>303</v>
      </c>
      <c r="N74">
        <v>299</v>
      </c>
      <c r="O74">
        <v>300.125</v>
      </c>
      <c r="P74">
        <v>300.5</v>
      </c>
      <c r="Q74">
        <v>300.125</v>
      </c>
      <c r="R74">
        <v>298.75</v>
      </c>
      <c r="S74">
        <v>297.625</v>
      </c>
      <c r="T74">
        <v>299.125</v>
      </c>
      <c r="U74">
        <v>299.75</v>
      </c>
      <c r="V74">
        <v>300.875</v>
      </c>
      <c r="W74">
        <v>298.375</v>
      </c>
      <c r="X74" s="21">
        <f t="shared" ref="X74:X104" si="2">AVERAGE(D74:W74)</f>
        <v>300.35624999999999</v>
      </c>
    </row>
    <row r="75" spans="1:24" x14ac:dyDescent="0.25">
      <c r="A75">
        <v>720</v>
      </c>
      <c r="B75">
        <v>1</v>
      </c>
      <c r="C75" t="s">
        <v>41</v>
      </c>
      <c r="D75">
        <v>299.625</v>
      </c>
      <c r="E75">
        <v>298.5</v>
      </c>
      <c r="F75">
        <v>300.5</v>
      </c>
      <c r="G75">
        <v>297.75</v>
      </c>
      <c r="H75">
        <v>300.875</v>
      </c>
      <c r="I75">
        <v>301.375</v>
      </c>
      <c r="J75">
        <v>301.25</v>
      </c>
      <c r="K75">
        <v>299.5</v>
      </c>
      <c r="L75">
        <v>299.375</v>
      </c>
      <c r="M75">
        <v>299.625</v>
      </c>
      <c r="N75">
        <v>299</v>
      </c>
      <c r="O75">
        <v>299.125</v>
      </c>
      <c r="P75">
        <v>300</v>
      </c>
      <c r="Q75">
        <v>300.75</v>
      </c>
      <c r="R75">
        <v>299.5</v>
      </c>
      <c r="S75">
        <v>299.875</v>
      </c>
      <c r="T75">
        <v>298.875</v>
      </c>
      <c r="U75">
        <v>300.125</v>
      </c>
      <c r="V75">
        <v>301.625</v>
      </c>
      <c r="W75">
        <v>302.75</v>
      </c>
      <c r="X75" s="21">
        <f t="shared" si="2"/>
        <v>300</v>
      </c>
    </row>
    <row r="76" spans="1:24" x14ac:dyDescent="0.25">
      <c r="A76">
        <v>740</v>
      </c>
      <c r="B76">
        <v>1</v>
      </c>
      <c r="C76" t="s">
        <v>41</v>
      </c>
      <c r="D76">
        <v>297.625</v>
      </c>
      <c r="E76">
        <v>300</v>
      </c>
      <c r="F76">
        <v>298.25</v>
      </c>
      <c r="G76">
        <v>298.875</v>
      </c>
      <c r="H76">
        <v>299.625</v>
      </c>
      <c r="I76">
        <v>299.875</v>
      </c>
      <c r="J76">
        <v>299.5</v>
      </c>
      <c r="K76">
        <v>300</v>
      </c>
      <c r="L76">
        <v>300.625</v>
      </c>
      <c r="M76">
        <v>299</v>
      </c>
      <c r="N76">
        <v>298.875</v>
      </c>
      <c r="O76">
        <v>297.75</v>
      </c>
      <c r="P76">
        <v>301.75</v>
      </c>
      <c r="Q76">
        <v>297.75</v>
      </c>
      <c r="R76">
        <v>298.75</v>
      </c>
      <c r="S76">
        <v>299.25</v>
      </c>
      <c r="T76">
        <v>300.25</v>
      </c>
      <c r="U76">
        <v>299.125</v>
      </c>
      <c r="V76">
        <v>300.25</v>
      </c>
      <c r="W76">
        <v>299</v>
      </c>
      <c r="X76" s="21">
        <f t="shared" si="2"/>
        <v>299.30624999999998</v>
      </c>
    </row>
    <row r="77" spans="1:24" x14ac:dyDescent="0.25">
      <c r="A77">
        <v>760</v>
      </c>
      <c r="B77">
        <v>1</v>
      </c>
      <c r="C77" t="s">
        <v>41</v>
      </c>
      <c r="D77">
        <v>298.875</v>
      </c>
      <c r="E77">
        <v>298.375</v>
      </c>
      <c r="F77">
        <v>297.75</v>
      </c>
      <c r="G77">
        <v>299.5</v>
      </c>
      <c r="H77">
        <v>300</v>
      </c>
      <c r="I77">
        <v>300</v>
      </c>
      <c r="J77">
        <v>300</v>
      </c>
      <c r="K77">
        <v>298.75</v>
      </c>
      <c r="L77">
        <v>299.5</v>
      </c>
      <c r="M77">
        <v>298</v>
      </c>
      <c r="N77">
        <v>299.25</v>
      </c>
      <c r="O77">
        <v>301</v>
      </c>
      <c r="P77">
        <v>297.75</v>
      </c>
      <c r="Q77">
        <v>298.25</v>
      </c>
      <c r="R77">
        <v>299.75</v>
      </c>
      <c r="S77">
        <v>301.375</v>
      </c>
      <c r="T77">
        <v>300.25</v>
      </c>
      <c r="U77">
        <v>297.375</v>
      </c>
      <c r="V77">
        <v>297.375</v>
      </c>
      <c r="W77">
        <v>298.75</v>
      </c>
      <c r="X77" s="21">
        <f t="shared" si="2"/>
        <v>299.09375</v>
      </c>
    </row>
    <row r="78" spans="1:24" x14ac:dyDescent="0.25">
      <c r="A78">
        <v>780</v>
      </c>
      <c r="B78">
        <v>1</v>
      </c>
      <c r="C78" t="s">
        <v>41</v>
      </c>
      <c r="D78">
        <v>300.125</v>
      </c>
      <c r="E78">
        <v>297.625</v>
      </c>
      <c r="F78">
        <v>297.75</v>
      </c>
      <c r="G78">
        <v>298</v>
      </c>
      <c r="H78">
        <v>298.375</v>
      </c>
      <c r="I78">
        <v>300.375</v>
      </c>
      <c r="J78">
        <v>297.5</v>
      </c>
      <c r="K78">
        <v>298.5</v>
      </c>
      <c r="L78">
        <v>300</v>
      </c>
      <c r="M78">
        <v>301.375</v>
      </c>
      <c r="N78">
        <v>299.375</v>
      </c>
      <c r="O78">
        <v>298.625</v>
      </c>
      <c r="P78">
        <v>298.625</v>
      </c>
      <c r="Q78">
        <v>299.75</v>
      </c>
      <c r="R78">
        <v>298.875</v>
      </c>
      <c r="S78">
        <v>298.375</v>
      </c>
      <c r="T78">
        <v>297.375</v>
      </c>
      <c r="U78">
        <v>300.375</v>
      </c>
      <c r="V78">
        <v>298.625</v>
      </c>
      <c r="W78">
        <v>298</v>
      </c>
      <c r="X78" s="21">
        <f t="shared" si="2"/>
        <v>298.88125000000002</v>
      </c>
    </row>
    <row r="79" spans="1:24" x14ac:dyDescent="0.25">
      <c r="A79">
        <v>800</v>
      </c>
      <c r="B79">
        <v>1</v>
      </c>
      <c r="C79" t="s">
        <v>41</v>
      </c>
      <c r="D79">
        <v>297</v>
      </c>
      <c r="E79">
        <v>297.625</v>
      </c>
      <c r="F79">
        <v>300.375</v>
      </c>
      <c r="G79">
        <v>298.75</v>
      </c>
      <c r="H79">
        <v>300</v>
      </c>
      <c r="I79">
        <v>299.125</v>
      </c>
      <c r="J79">
        <v>298.625</v>
      </c>
      <c r="K79">
        <v>298.875</v>
      </c>
      <c r="L79">
        <v>296.75</v>
      </c>
      <c r="M79">
        <v>299.75</v>
      </c>
      <c r="N79">
        <v>300.875</v>
      </c>
      <c r="O79">
        <v>299.375</v>
      </c>
      <c r="P79">
        <v>299.625</v>
      </c>
      <c r="Q79">
        <v>296.25</v>
      </c>
      <c r="R79">
        <v>299.25</v>
      </c>
      <c r="S79">
        <v>297.375</v>
      </c>
      <c r="T79">
        <v>298</v>
      </c>
      <c r="U79">
        <v>296.375</v>
      </c>
      <c r="V79">
        <v>298.875</v>
      </c>
      <c r="W79">
        <v>298</v>
      </c>
      <c r="X79" s="21">
        <f t="shared" si="2"/>
        <v>298.54374999999999</v>
      </c>
    </row>
    <row r="80" spans="1:24" x14ac:dyDescent="0.25">
      <c r="A80">
        <v>820</v>
      </c>
      <c r="B80">
        <v>1</v>
      </c>
      <c r="C80" t="s">
        <v>41</v>
      </c>
      <c r="D80">
        <v>299.375</v>
      </c>
      <c r="E80">
        <v>298</v>
      </c>
      <c r="F80">
        <v>299.125</v>
      </c>
      <c r="G80">
        <v>300.375</v>
      </c>
      <c r="H80">
        <v>297.5</v>
      </c>
      <c r="I80">
        <v>298</v>
      </c>
      <c r="J80">
        <v>298.25</v>
      </c>
      <c r="K80">
        <v>297.75</v>
      </c>
      <c r="L80">
        <v>298.375</v>
      </c>
      <c r="M80">
        <v>299.75</v>
      </c>
      <c r="N80">
        <v>300.375</v>
      </c>
      <c r="O80">
        <v>299.625</v>
      </c>
      <c r="P80">
        <v>299.25</v>
      </c>
      <c r="Q80">
        <v>298.375</v>
      </c>
      <c r="R80">
        <v>297.5</v>
      </c>
      <c r="S80">
        <v>299.375</v>
      </c>
      <c r="T80">
        <v>298.625</v>
      </c>
      <c r="U80">
        <v>301.125</v>
      </c>
      <c r="V80">
        <v>300.125</v>
      </c>
      <c r="W80">
        <v>296.125</v>
      </c>
      <c r="X80" s="21">
        <f t="shared" si="2"/>
        <v>298.85000000000002</v>
      </c>
    </row>
    <row r="81" spans="1:24" x14ac:dyDescent="0.25">
      <c r="A81">
        <v>840</v>
      </c>
      <c r="B81">
        <v>1</v>
      </c>
      <c r="C81" t="s">
        <v>41</v>
      </c>
      <c r="D81">
        <v>296.625</v>
      </c>
      <c r="E81">
        <v>295.25</v>
      </c>
      <c r="F81">
        <v>297.375</v>
      </c>
      <c r="G81">
        <v>299.625</v>
      </c>
      <c r="H81">
        <v>297.875</v>
      </c>
      <c r="I81">
        <v>298.75</v>
      </c>
      <c r="J81">
        <v>298.375</v>
      </c>
      <c r="K81">
        <v>298.375</v>
      </c>
      <c r="L81">
        <v>300</v>
      </c>
      <c r="M81">
        <v>297.625</v>
      </c>
      <c r="N81">
        <v>298.25</v>
      </c>
      <c r="O81">
        <v>297.25</v>
      </c>
      <c r="P81">
        <v>298.625</v>
      </c>
      <c r="Q81">
        <v>296.875</v>
      </c>
      <c r="R81">
        <v>299</v>
      </c>
      <c r="S81">
        <v>297</v>
      </c>
      <c r="T81">
        <v>297.25</v>
      </c>
      <c r="U81">
        <v>299.5</v>
      </c>
      <c r="V81">
        <v>299.875</v>
      </c>
      <c r="W81">
        <v>298.875</v>
      </c>
      <c r="X81" s="21">
        <f t="shared" si="2"/>
        <v>298.11874999999998</v>
      </c>
    </row>
    <row r="82" spans="1:24" x14ac:dyDescent="0.25">
      <c r="A82">
        <v>860</v>
      </c>
      <c r="B82">
        <v>1</v>
      </c>
      <c r="C82" t="s">
        <v>41</v>
      </c>
      <c r="D82">
        <v>297.375</v>
      </c>
      <c r="E82">
        <v>299.25</v>
      </c>
      <c r="F82">
        <v>296.625</v>
      </c>
      <c r="G82">
        <v>295.375</v>
      </c>
      <c r="H82">
        <v>298.375</v>
      </c>
      <c r="I82">
        <v>297.25</v>
      </c>
      <c r="J82">
        <v>300</v>
      </c>
      <c r="K82">
        <v>297.75</v>
      </c>
      <c r="L82">
        <v>298</v>
      </c>
      <c r="M82">
        <v>298.125</v>
      </c>
      <c r="N82">
        <v>297.25</v>
      </c>
      <c r="O82">
        <v>299.25</v>
      </c>
      <c r="P82">
        <v>297.25</v>
      </c>
      <c r="Q82">
        <v>299.125</v>
      </c>
      <c r="R82">
        <v>299</v>
      </c>
      <c r="S82">
        <v>296.5</v>
      </c>
      <c r="T82">
        <v>298.25</v>
      </c>
      <c r="U82">
        <v>296.875</v>
      </c>
      <c r="V82">
        <v>297</v>
      </c>
      <c r="W82">
        <v>299.125</v>
      </c>
      <c r="X82" s="21">
        <f t="shared" si="2"/>
        <v>297.88749999999999</v>
      </c>
    </row>
    <row r="83" spans="1:24" x14ac:dyDescent="0.25">
      <c r="A83">
        <v>880</v>
      </c>
      <c r="B83">
        <v>1</v>
      </c>
      <c r="C83" t="s">
        <v>41</v>
      </c>
      <c r="D83">
        <v>298.125</v>
      </c>
      <c r="E83">
        <v>297.875</v>
      </c>
      <c r="F83">
        <v>297.875</v>
      </c>
      <c r="G83">
        <v>298.875</v>
      </c>
      <c r="H83">
        <v>297.75</v>
      </c>
      <c r="I83">
        <v>296.125</v>
      </c>
      <c r="J83">
        <v>300.125</v>
      </c>
      <c r="K83">
        <v>299.125</v>
      </c>
      <c r="L83">
        <v>299</v>
      </c>
      <c r="M83">
        <v>297.625</v>
      </c>
      <c r="N83">
        <v>297.25</v>
      </c>
      <c r="O83">
        <v>297.625</v>
      </c>
      <c r="P83">
        <v>298.5</v>
      </c>
      <c r="Q83">
        <v>298.375</v>
      </c>
      <c r="R83">
        <v>296.75</v>
      </c>
      <c r="S83">
        <v>297.5</v>
      </c>
      <c r="T83">
        <v>299.125</v>
      </c>
      <c r="U83">
        <v>296.625</v>
      </c>
      <c r="V83">
        <v>299.125</v>
      </c>
      <c r="W83">
        <v>297.875</v>
      </c>
      <c r="X83" s="21">
        <f t="shared" si="2"/>
        <v>298.0625</v>
      </c>
    </row>
    <row r="84" spans="1:24" x14ac:dyDescent="0.25">
      <c r="A84">
        <v>900</v>
      </c>
      <c r="B84">
        <v>1</v>
      </c>
      <c r="C84" t="s">
        <v>41</v>
      </c>
      <c r="D84">
        <v>297</v>
      </c>
      <c r="E84">
        <v>297.125</v>
      </c>
      <c r="F84">
        <v>299</v>
      </c>
      <c r="G84">
        <v>297.875</v>
      </c>
      <c r="H84">
        <v>297.5</v>
      </c>
      <c r="I84">
        <v>298.25</v>
      </c>
      <c r="J84">
        <v>299</v>
      </c>
      <c r="K84">
        <v>296.75</v>
      </c>
      <c r="L84">
        <v>297.375</v>
      </c>
      <c r="M84">
        <v>297.75</v>
      </c>
      <c r="N84">
        <v>297.375</v>
      </c>
      <c r="O84">
        <v>298.125</v>
      </c>
      <c r="P84">
        <v>297.75</v>
      </c>
      <c r="Q84">
        <v>297.75</v>
      </c>
      <c r="R84">
        <v>297.75</v>
      </c>
      <c r="S84">
        <v>297.75</v>
      </c>
      <c r="T84">
        <v>299.25</v>
      </c>
      <c r="U84">
        <v>300</v>
      </c>
      <c r="V84">
        <v>298.625</v>
      </c>
      <c r="W84">
        <v>297.125</v>
      </c>
      <c r="X84" s="21">
        <f t="shared" si="2"/>
        <v>297.95625000000001</v>
      </c>
    </row>
    <row r="85" spans="1:24" x14ac:dyDescent="0.25">
      <c r="A85">
        <v>920</v>
      </c>
      <c r="B85">
        <v>1</v>
      </c>
      <c r="C85" t="s">
        <v>41</v>
      </c>
      <c r="D85">
        <v>297.375</v>
      </c>
      <c r="E85">
        <v>298.875</v>
      </c>
      <c r="F85">
        <v>299</v>
      </c>
      <c r="G85">
        <v>296.625</v>
      </c>
      <c r="H85">
        <v>297.5</v>
      </c>
      <c r="I85">
        <v>296.75</v>
      </c>
      <c r="J85">
        <v>298.5</v>
      </c>
      <c r="K85">
        <v>298.875</v>
      </c>
      <c r="L85">
        <v>297.625</v>
      </c>
      <c r="M85">
        <v>295.875</v>
      </c>
      <c r="N85">
        <v>298</v>
      </c>
      <c r="O85">
        <v>296.125</v>
      </c>
      <c r="P85">
        <v>298.875</v>
      </c>
      <c r="Q85">
        <v>297.875</v>
      </c>
      <c r="R85">
        <v>296.75</v>
      </c>
      <c r="S85">
        <v>299</v>
      </c>
      <c r="T85">
        <v>295.75</v>
      </c>
      <c r="U85">
        <v>295.875</v>
      </c>
      <c r="V85">
        <v>296.625</v>
      </c>
      <c r="W85">
        <v>297.875</v>
      </c>
      <c r="X85" s="21">
        <f t="shared" si="2"/>
        <v>297.48750000000001</v>
      </c>
    </row>
    <row r="86" spans="1:24" x14ac:dyDescent="0.25">
      <c r="A86">
        <v>940</v>
      </c>
      <c r="B86">
        <v>1</v>
      </c>
      <c r="C86" t="s">
        <v>41</v>
      </c>
      <c r="D86">
        <v>299.125</v>
      </c>
      <c r="E86">
        <v>296.875</v>
      </c>
      <c r="F86">
        <v>296.75</v>
      </c>
      <c r="G86">
        <v>298</v>
      </c>
      <c r="H86">
        <v>299.375</v>
      </c>
      <c r="I86">
        <v>297.875</v>
      </c>
      <c r="J86">
        <v>297</v>
      </c>
      <c r="K86">
        <v>299</v>
      </c>
      <c r="L86">
        <v>300</v>
      </c>
      <c r="M86">
        <v>297.625</v>
      </c>
      <c r="N86">
        <v>296.5</v>
      </c>
      <c r="O86">
        <v>297.375</v>
      </c>
      <c r="P86">
        <v>298.375</v>
      </c>
      <c r="Q86">
        <v>297.75</v>
      </c>
      <c r="R86">
        <v>296.5</v>
      </c>
      <c r="S86">
        <v>296.75</v>
      </c>
      <c r="T86">
        <v>298.5</v>
      </c>
      <c r="U86">
        <v>298.75</v>
      </c>
      <c r="V86">
        <v>296.375</v>
      </c>
      <c r="W86">
        <v>300</v>
      </c>
      <c r="X86" s="21">
        <f t="shared" si="2"/>
        <v>297.92500000000001</v>
      </c>
    </row>
    <row r="87" spans="1:24" x14ac:dyDescent="0.25">
      <c r="A87">
        <v>960</v>
      </c>
      <c r="B87">
        <v>1</v>
      </c>
      <c r="C87" t="s">
        <v>41</v>
      </c>
      <c r="D87">
        <v>296.625</v>
      </c>
      <c r="E87">
        <v>296.75</v>
      </c>
      <c r="F87">
        <v>297.25</v>
      </c>
      <c r="G87">
        <v>297.5</v>
      </c>
      <c r="H87">
        <v>298.25</v>
      </c>
      <c r="I87">
        <v>297.75</v>
      </c>
      <c r="J87">
        <v>299.875</v>
      </c>
      <c r="K87">
        <v>296.5</v>
      </c>
      <c r="L87">
        <v>298.25</v>
      </c>
      <c r="M87">
        <v>295.125</v>
      </c>
      <c r="N87">
        <v>295.75</v>
      </c>
      <c r="O87">
        <v>297.5</v>
      </c>
      <c r="P87">
        <v>298</v>
      </c>
      <c r="Q87">
        <v>298.25</v>
      </c>
      <c r="R87">
        <v>296.375</v>
      </c>
      <c r="S87">
        <v>300.125</v>
      </c>
      <c r="T87">
        <v>297.625</v>
      </c>
      <c r="U87">
        <v>296.375</v>
      </c>
      <c r="V87">
        <v>298.25</v>
      </c>
      <c r="W87">
        <v>298</v>
      </c>
      <c r="X87" s="21">
        <f t="shared" si="2"/>
        <v>297.50625000000002</v>
      </c>
    </row>
    <row r="88" spans="1:24" x14ac:dyDescent="0.25">
      <c r="A88">
        <v>980</v>
      </c>
      <c r="B88">
        <v>1</v>
      </c>
      <c r="C88" t="s">
        <v>41</v>
      </c>
      <c r="D88">
        <v>299.25</v>
      </c>
      <c r="E88">
        <v>297</v>
      </c>
      <c r="F88">
        <v>299.375</v>
      </c>
      <c r="G88">
        <v>298.75</v>
      </c>
      <c r="H88">
        <v>299.375</v>
      </c>
      <c r="I88">
        <v>297.125</v>
      </c>
      <c r="J88">
        <v>298.625</v>
      </c>
      <c r="K88">
        <v>297.75</v>
      </c>
      <c r="L88">
        <v>295.625</v>
      </c>
      <c r="M88">
        <v>297</v>
      </c>
      <c r="N88">
        <v>296.875</v>
      </c>
      <c r="O88">
        <v>297.5</v>
      </c>
      <c r="P88">
        <v>298.125</v>
      </c>
      <c r="Q88">
        <v>296.75</v>
      </c>
      <c r="R88">
        <v>298</v>
      </c>
      <c r="S88">
        <v>298.875</v>
      </c>
      <c r="T88">
        <v>296</v>
      </c>
      <c r="U88">
        <v>297.125</v>
      </c>
      <c r="V88">
        <v>295.875</v>
      </c>
      <c r="W88">
        <v>296.625</v>
      </c>
      <c r="X88" s="21">
        <f t="shared" si="2"/>
        <v>297.58125000000001</v>
      </c>
    </row>
    <row r="89" spans="1:24" x14ac:dyDescent="0.25">
      <c r="A89">
        <v>1000</v>
      </c>
      <c r="B89">
        <v>1</v>
      </c>
      <c r="C89" t="s">
        <v>41</v>
      </c>
      <c r="D89">
        <v>296</v>
      </c>
      <c r="E89">
        <v>296.625</v>
      </c>
      <c r="F89">
        <v>297.5</v>
      </c>
      <c r="G89">
        <v>297.625</v>
      </c>
      <c r="H89">
        <v>296</v>
      </c>
      <c r="I89">
        <v>296</v>
      </c>
      <c r="J89">
        <v>296.625</v>
      </c>
      <c r="K89">
        <v>298.125</v>
      </c>
      <c r="L89">
        <v>295.875</v>
      </c>
      <c r="M89">
        <v>297.5</v>
      </c>
      <c r="N89">
        <v>296.375</v>
      </c>
      <c r="O89">
        <v>297</v>
      </c>
      <c r="P89">
        <v>296.375</v>
      </c>
      <c r="Q89">
        <v>296.625</v>
      </c>
      <c r="R89">
        <v>295.625</v>
      </c>
      <c r="S89">
        <v>295.75</v>
      </c>
      <c r="T89">
        <v>296.375</v>
      </c>
      <c r="U89">
        <v>296</v>
      </c>
      <c r="V89">
        <v>298</v>
      </c>
      <c r="W89">
        <v>296.875</v>
      </c>
      <c r="X89" s="21">
        <f t="shared" si="2"/>
        <v>296.64375000000001</v>
      </c>
    </row>
    <row r="90" spans="1:24" x14ac:dyDescent="0.25">
      <c r="A90">
        <v>1020</v>
      </c>
      <c r="B90">
        <v>1</v>
      </c>
      <c r="C90" t="s">
        <v>41</v>
      </c>
      <c r="D90">
        <v>294.875</v>
      </c>
      <c r="E90">
        <v>295.75</v>
      </c>
      <c r="F90">
        <v>297.125</v>
      </c>
      <c r="G90">
        <v>295.75</v>
      </c>
      <c r="H90">
        <v>297.625</v>
      </c>
      <c r="I90">
        <v>295.25</v>
      </c>
      <c r="J90">
        <v>296.625</v>
      </c>
      <c r="K90">
        <v>297.5</v>
      </c>
      <c r="L90">
        <v>297.75</v>
      </c>
      <c r="M90">
        <v>296.75</v>
      </c>
      <c r="N90">
        <v>296</v>
      </c>
      <c r="O90">
        <v>298.375</v>
      </c>
      <c r="P90">
        <v>297.875</v>
      </c>
      <c r="Q90">
        <v>297.25</v>
      </c>
      <c r="R90">
        <v>296</v>
      </c>
      <c r="S90">
        <v>296.625</v>
      </c>
      <c r="T90">
        <v>297.75</v>
      </c>
      <c r="U90">
        <v>295.5</v>
      </c>
      <c r="V90">
        <v>297.125</v>
      </c>
      <c r="W90">
        <v>295.625</v>
      </c>
      <c r="X90" s="21">
        <f t="shared" si="2"/>
        <v>296.65625</v>
      </c>
    </row>
    <row r="91" spans="1:24" x14ac:dyDescent="0.25">
      <c r="A91">
        <v>1040</v>
      </c>
      <c r="B91">
        <v>1</v>
      </c>
      <c r="C91" t="s">
        <v>41</v>
      </c>
      <c r="D91">
        <v>299.125</v>
      </c>
      <c r="E91">
        <v>296.75</v>
      </c>
      <c r="F91">
        <v>296.25</v>
      </c>
      <c r="G91">
        <v>295.875</v>
      </c>
      <c r="H91">
        <v>297.125</v>
      </c>
      <c r="I91">
        <v>296.75</v>
      </c>
      <c r="J91">
        <v>296.5</v>
      </c>
      <c r="K91">
        <v>297.5</v>
      </c>
      <c r="L91">
        <v>298.125</v>
      </c>
      <c r="M91">
        <v>296.625</v>
      </c>
      <c r="N91">
        <v>297.625</v>
      </c>
      <c r="O91">
        <v>294.875</v>
      </c>
      <c r="P91">
        <v>296.5</v>
      </c>
      <c r="Q91">
        <v>297.125</v>
      </c>
      <c r="R91">
        <v>296.75</v>
      </c>
      <c r="S91">
        <v>298.25</v>
      </c>
      <c r="T91">
        <v>295.875</v>
      </c>
      <c r="U91">
        <v>295.875</v>
      </c>
      <c r="V91">
        <v>296.875</v>
      </c>
      <c r="W91">
        <v>298</v>
      </c>
      <c r="X91" s="21">
        <f t="shared" si="2"/>
        <v>296.91874999999999</v>
      </c>
    </row>
    <row r="92" spans="1:24" x14ac:dyDescent="0.25">
      <c r="A92">
        <v>1060</v>
      </c>
      <c r="B92">
        <v>1</v>
      </c>
      <c r="C92" t="s">
        <v>41</v>
      </c>
      <c r="D92">
        <v>294.75</v>
      </c>
      <c r="E92">
        <v>295.75</v>
      </c>
      <c r="F92">
        <v>296.5</v>
      </c>
      <c r="G92">
        <v>295.5</v>
      </c>
      <c r="H92">
        <v>295.875</v>
      </c>
      <c r="I92">
        <v>298</v>
      </c>
      <c r="J92">
        <v>297.125</v>
      </c>
      <c r="K92">
        <v>298.75</v>
      </c>
      <c r="L92">
        <v>298.25</v>
      </c>
      <c r="M92">
        <v>297</v>
      </c>
      <c r="N92">
        <v>296</v>
      </c>
      <c r="O92">
        <v>298.25</v>
      </c>
      <c r="P92">
        <v>297.5</v>
      </c>
      <c r="Q92">
        <v>298.875</v>
      </c>
      <c r="R92">
        <v>296.875</v>
      </c>
      <c r="S92">
        <v>296.75</v>
      </c>
      <c r="T92">
        <v>296.875</v>
      </c>
      <c r="U92">
        <v>296.625</v>
      </c>
      <c r="V92">
        <v>295</v>
      </c>
      <c r="W92">
        <v>297.25</v>
      </c>
      <c r="X92" s="21">
        <f t="shared" si="2"/>
        <v>296.875</v>
      </c>
    </row>
    <row r="93" spans="1:24" x14ac:dyDescent="0.25">
      <c r="A93">
        <v>1080</v>
      </c>
      <c r="B93">
        <v>1</v>
      </c>
      <c r="C93" t="s">
        <v>41</v>
      </c>
      <c r="D93">
        <v>297</v>
      </c>
      <c r="E93">
        <v>298.625</v>
      </c>
      <c r="F93">
        <v>296.125</v>
      </c>
      <c r="G93">
        <v>297.25</v>
      </c>
      <c r="H93">
        <v>296.625</v>
      </c>
      <c r="I93">
        <v>295.75</v>
      </c>
      <c r="J93">
        <v>295.5</v>
      </c>
      <c r="K93">
        <v>295.375</v>
      </c>
      <c r="L93">
        <v>297</v>
      </c>
      <c r="M93">
        <v>295.5</v>
      </c>
      <c r="N93">
        <v>297.125</v>
      </c>
      <c r="O93">
        <v>297.25</v>
      </c>
      <c r="P93">
        <v>296</v>
      </c>
      <c r="Q93">
        <v>297</v>
      </c>
      <c r="R93">
        <v>295.125</v>
      </c>
      <c r="S93">
        <v>294.875</v>
      </c>
      <c r="T93">
        <v>293.625</v>
      </c>
      <c r="U93">
        <v>296.625</v>
      </c>
      <c r="V93">
        <v>297.875</v>
      </c>
      <c r="W93">
        <v>293.375</v>
      </c>
      <c r="X93" s="21">
        <f t="shared" si="2"/>
        <v>296.18124999999998</v>
      </c>
    </row>
    <row r="94" spans="1:24" x14ac:dyDescent="0.25">
      <c r="A94">
        <v>1100</v>
      </c>
      <c r="B94">
        <v>1</v>
      </c>
      <c r="C94" t="s">
        <v>41</v>
      </c>
      <c r="D94">
        <v>297.875</v>
      </c>
      <c r="E94">
        <v>298</v>
      </c>
      <c r="F94">
        <v>297.25</v>
      </c>
      <c r="G94">
        <v>297.125</v>
      </c>
      <c r="H94">
        <v>295.875</v>
      </c>
      <c r="I94">
        <v>296.5</v>
      </c>
      <c r="J94">
        <v>292.5</v>
      </c>
      <c r="K94">
        <v>296.25</v>
      </c>
      <c r="L94">
        <v>296.375</v>
      </c>
      <c r="M94">
        <v>297</v>
      </c>
      <c r="N94">
        <v>297.625</v>
      </c>
      <c r="O94">
        <v>295.75</v>
      </c>
      <c r="P94">
        <v>298.25</v>
      </c>
      <c r="Q94">
        <v>294.125</v>
      </c>
      <c r="R94">
        <v>295.25</v>
      </c>
      <c r="S94">
        <v>297.125</v>
      </c>
      <c r="T94">
        <v>297.75</v>
      </c>
      <c r="U94">
        <v>296.75</v>
      </c>
      <c r="V94">
        <v>296.25</v>
      </c>
      <c r="W94">
        <v>296.875</v>
      </c>
      <c r="X94" s="21">
        <f t="shared" si="2"/>
        <v>296.52499999999998</v>
      </c>
    </row>
    <row r="95" spans="1:24" x14ac:dyDescent="0.25">
      <c r="A95">
        <v>1120</v>
      </c>
      <c r="B95">
        <v>1</v>
      </c>
      <c r="C95" t="s">
        <v>41</v>
      </c>
      <c r="D95">
        <v>296.75</v>
      </c>
      <c r="E95">
        <v>295.25</v>
      </c>
      <c r="F95">
        <v>297.125</v>
      </c>
      <c r="G95">
        <v>296.5</v>
      </c>
      <c r="H95">
        <v>297.125</v>
      </c>
      <c r="I95">
        <v>296.5</v>
      </c>
      <c r="J95">
        <v>297.125</v>
      </c>
      <c r="K95">
        <v>298.375</v>
      </c>
      <c r="L95">
        <v>295.375</v>
      </c>
      <c r="M95">
        <v>295.875</v>
      </c>
      <c r="N95">
        <v>294.875</v>
      </c>
      <c r="O95">
        <v>295.5</v>
      </c>
      <c r="P95">
        <v>295.625</v>
      </c>
      <c r="Q95">
        <v>297.25</v>
      </c>
      <c r="R95">
        <v>296.875</v>
      </c>
      <c r="S95">
        <v>294.75</v>
      </c>
      <c r="T95">
        <v>297.5</v>
      </c>
      <c r="U95">
        <v>296.625</v>
      </c>
      <c r="V95">
        <v>295.5</v>
      </c>
      <c r="W95">
        <v>295.75</v>
      </c>
      <c r="X95" s="21">
        <f t="shared" si="2"/>
        <v>296.3125</v>
      </c>
    </row>
    <row r="96" spans="1:24" x14ac:dyDescent="0.25">
      <c r="A96">
        <v>1140</v>
      </c>
      <c r="B96">
        <v>1</v>
      </c>
      <c r="C96" t="s">
        <v>41</v>
      </c>
      <c r="D96">
        <v>297.125</v>
      </c>
      <c r="E96">
        <v>295.875</v>
      </c>
      <c r="F96">
        <v>295.875</v>
      </c>
      <c r="G96">
        <v>298.375</v>
      </c>
      <c r="H96">
        <v>298</v>
      </c>
      <c r="I96">
        <v>295.25</v>
      </c>
      <c r="J96">
        <v>296</v>
      </c>
      <c r="K96">
        <v>296.25</v>
      </c>
      <c r="L96">
        <v>295.125</v>
      </c>
      <c r="M96">
        <v>297.625</v>
      </c>
      <c r="N96">
        <v>295.75</v>
      </c>
      <c r="O96">
        <v>295.25</v>
      </c>
      <c r="P96">
        <v>296.375</v>
      </c>
      <c r="Q96">
        <v>294.875</v>
      </c>
      <c r="R96">
        <v>295.125</v>
      </c>
      <c r="S96">
        <v>296</v>
      </c>
      <c r="T96">
        <v>294</v>
      </c>
      <c r="U96">
        <v>295.125</v>
      </c>
      <c r="V96">
        <v>295.125</v>
      </c>
      <c r="W96">
        <v>295.125</v>
      </c>
      <c r="X96" s="21">
        <f t="shared" si="2"/>
        <v>295.91250000000002</v>
      </c>
    </row>
    <row r="97" spans="1:24" x14ac:dyDescent="0.25">
      <c r="A97">
        <v>1160</v>
      </c>
      <c r="B97">
        <v>1</v>
      </c>
      <c r="C97" t="s">
        <v>41</v>
      </c>
      <c r="D97">
        <v>295</v>
      </c>
      <c r="E97">
        <v>296.125</v>
      </c>
      <c r="F97">
        <v>296.25</v>
      </c>
      <c r="G97">
        <v>296.5</v>
      </c>
      <c r="H97">
        <v>295.5</v>
      </c>
      <c r="I97">
        <v>298.25</v>
      </c>
      <c r="J97">
        <v>294.75</v>
      </c>
      <c r="K97">
        <v>296.75</v>
      </c>
      <c r="L97">
        <v>296.25</v>
      </c>
      <c r="M97">
        <v>297.125</v>
      </c>
      <c r="N97">
        <v>295.25</v>
      </c>
      <c r="O97">
        <v>294</v>
      </c>
      <c r="P97">
        <v>293.875</v>
      </c>
      <c r="Q97">
        <v>297.375</v>
      </c>
      <c r="R97">
        <v>295.625</v>
      </c>
      <c r="S97">
        <v>297.5</v>
      </c>
      <c r="T97">
        <v>296.375</v>
      </c>
      <c r="U97">
        <v>294.75</v>
      </c>
      <c r="V97">
        <v>296.5</v>
      </c>
      <c r="W97">
        <v>295.25</v>
      </c>
      <c r="X97" s="21">
        <f t="shared" si="2"/>
        <v>295.95</v>
      </c>
    </row>
    <row r="98" spans="1:24" x14ac:dyDescent="0.25">
      <c r="A98">
        <v>1180</v>
      </c>
      <c r="B98">
        <v>1</v>
      </c>
      <c r="C98" t="s">
        <v>41</v>
      </c>
      <c r="D98">
        <v>294.75</v>
      </c>
      <c r="E98">
        <v>294.625</v>
      </c>
      <c r="F98">
        <v>295.75</v>
      </c>
      <c r="G98">
        <v>294.875</v>
      </c>
      <c r="H98">
        <v>295.625</v>
      </c>
      <c r="I98">
        <v>296</v>
      </c>
      <c r="J98">
        <v>296.25</v>
      </c>
      <c r="K98">
        <v>296.875</v>
      </c>
      <c r="L98">
        <v>295</v>
      </c>
      <c r="M98">
        <v>295.5</v>
      </c>
      <c r="N98">
        <v>294.5</v>
      </c>
      <c r="O98">
        <v>295.375</v>
      </c>
      <c r="P98">
        <v>296.25</v>
      </c>
      <c r="Q98">
        <v>295.625</v>
      </c>
      <c r="R98">
        <v>294.875</v>
      </c>
      <c r="S98">
        <v>296.375</v>
      </c>
      <c r="T98">
        <v>297</v>
      </c>
      <c r="U98">
        <v>296.625</v>
      </c>
      <c r="V98">
        <v>295.625</v>
      </c>
      <c r="W98">
        <v>294.875</v>
      </c>
      <c r="X98" s="21">
        <f t="shared" si="2"/>
        <v>295.61874999999998</v>
      </c>
    </row>
    <row r="99" spans="1:24" x14ac:dyDescent="0.25">
      <c r="A99">
        <v>1200</v>
      </c>
      <c r="B99">
        <v>1</v>
      </c>
      <c r="C99" t="s">
        <v>41</v>
      </c>
      <c r="D99">
        <v>296.125</v>
      </c>
      <c r="E99">
        <v>294.75</v>
      </c>
      <c r="F99">
        <v>295.5</v>
      </c>
      <c r="G99">
        <v>295.25</v>
      </c>
      <c r="H99">
        <v>296</v>
      </c>
      <c r="I99">
        <v>295.25</v>
      </c>
      <c r="J99">
        <v>294.75</v>
      </c>
      <c r="K99">
        <v>297.875</v>
      </c>
      <c r="L99">
        <v>296</v>
      </c>
      <c r="M99">
        <v>297.25</v>
      </c>
      <c r="N99">
        <v>296</v>
      </c>
      <c r="O99">
        <v>296.25</v>
      </c>
      <c r="P99">
        <v>294.75</v>
      </c>
      <c r="Q99">
        <v>293.5</v>
      </c>
      <c r="R99">
        <v>294.5</v>
      </c>
      <c r="S99">
        <v>296.5</v>
      </c>
      <c r="T99">
        <v>294.375</v>
      </c>
      <c r="U99">
        <v>296.25</v>
      </c>
      <c r="V99">
        <v>295.75</v>
      </c>
      <c r="W99">
        <v>295.25</v>
      </c>
      <c r="X99" s="21">
        <f t="shared" si="2"/>
        <v>295.59375</v>
      </c>
    </row>
    <row r="100" spans="1:24" x14ac:dyDescent="0.25">
      <c r="A100">
        <v>1220</v>
      </c>
      <c r="B100">
        <v>1</v>
      </c>
      <c r="C100" t="s">
        <v>41</v>
      </c>
      <c r="D100">
        <v>298.75</v>
      </c>
      <c r="E100">
        <v>296.375</v>
      </c>
      <c r="F100">
        <v>296.75</v>
      </c>
      <c r="G100">
        <v>297.75</v>
      </c>
      <c r="H100">
        <v>294.25</v>
      </c>
      <c r="I100">
        <v>294.375</v>
      </c>
      <c r="J100">
        <v>294.5</v>
      </c>
      <c r="K100">
        <v>295.875</v>
      </c>
      <c r="L100">
        <v>296.125</v>
      </c>
      <c r="M100">
        <v>296.875</v>
      </c>
      <c r="N100">
        <v>296.5</v>
      </c>
      <c r="O100">
        <v>297.625</v>
      </c>
      <c r="P100">
        <v>295</v>
      </c>
      <c r="Q100">
        <v>295.5</v>
      </c>
      <c r="R100">
        <v>294.5</v>
      </c>
      <c r="S100">
        <v>295</v>
      </c>
      <c r="T100">
        <v>294.25</v>
      </c>
      <c r="U100">
        <v>294.25</v>
      </c>
      <c r="V100">
        <v>295.875</v>
      </c>
      <c r="W100">
        <v>294.125</v>
      </c>
      <c r="X100" s="21">
        <f t="shared" si="2"/>
        <v>295.71249999999998</v>
      </c>
    </row>
    <row r="101" spans="1:24" x14ac:dyDescent="0.25">
      <c r="A101">
        <v>1240</v>
      </c>
      <c r="B101">
        <v>1</v>
      </c>
      <c r="C101" t="s">
        <v>41</v>
      </c>
      <c r="D101">
        <v>293.75</v>
      </c>
      <c r="E101">
        <v>296.25</v>
      </c>
      <c r="F101">
        <v>293.625</v>
      </c>
      <c r="G101">
        <v>294.5</v>
      </c>
      <c r="H101">
        <v>294.75</v>
      </c>
      <c r="I101">
        <v>296.5</v>
      </c>
      <c r="J101">
        <v>294.875</v>
      </c>
      <c r="K101">
        <v>294.625</v>
      </c>
      <c r="L101">
        <v>296.125</v>
      </c>
      <c r="M101">
        <v>295.875</v>
      </c>
      <c r="N101">
        <v>296.125</v>
      </c>
      <c r="O101">
        <v>296.5</v>
      </c>
      <c r="P101">
        <v>296.75</v>
      </c>
      <c r="Q101">
        <v>295.5</v>
      </c>
      <c r="R101">
        <v>295.25</v>
      </c>
      <c r="S101">
        <v>295.875</v>
      </c>
      <c r="T101">
        <v>296</v>
      </c>
      <c r="U101">
        <v>295.625</v>
      </c>
      <c r="V101">
        <v>295.75</v>
      </c>
      <c r="W101">
        <v>295.875</v>
      </c>
      <c r="X101" s="21">
        <f t="shared" si="2"/>
        <v>295.50625000000002</v>
      </c>
    </row>
    <row r="102" spans="1:24" x14ac:dyDescent="0.25">
      <c r="A102">
        <v>1260</v>
      </c>
      <c r="B102">
        <v>1</v>
      </c>
      <c r="C102" t="s">
        <v>41</v>
      </c>
      <c r="D102">
        <v>295.375</v>
      </c>
      <c r="E102">
        <v>294.5</v>
      </c>
      <c r="F102">
        <v>297</v>
      </c>
      <c r="G102">
        <v>296.375</v>
      </c>
      <c r="H102">
        <v>296.5</v>
      </c>
      <c r="I102">
        <v>296.25</v>
      </c>
      <c r="J102">
        <v>295</v>
      </c>
      <c r="K102">
        <v>297.125</v>
      </c>
      <c r="L102">
        <v>295.625</v>
      </c>
      <c r="M102">
        <v>296.125</v>
      </c>
      <c r="N102">
        <v>293.125</v>
      </c>
      <c r="O102">
        <v>296.5</v>
      </c>
      <c r="P102">
        <v>295.25</v>
      </c>
      <c r="Q102">
        <v>295.5</v>
      </c>
      <c r="R102">
        <v>295.25</v>
      </c>
      <c r="S102">
        <v>296.25</v>
      </c>
      <c r="T102">
        <v>297.25</v>
      </c>
      <c r="U102">
        <v>296.375</v>
      </c>
      <c r="V102">
        <v>297.375</v>
      </c>
      <c r="W102">
        <v>298.5</v>
      </c>
      <c r="X102" s="21">
        <f t="shared" si="2"/>
        <v>296.0625</v>
      </c>
    </row>
    <row r="103" spans="1:24" x14ac:dyDescent="0.25">
      <c r="A103">
        <v>1280</v>
      </c>
      <c r="B103">
        <v>1</v>
      </c>
      <c r="C103" t="s">
        <v>41</v>
      </c>
      <c r="D103">
        <v>295.125</v>
      </c>
      <c r="E103">
        <v>295.75</v>
      </c>
      <c r="F103">
        <v>299.375</v>
      </c>
      <c r="G103">
        <v>296</v>
      </c>
      <c r="H103">
        <v>296.625</v>
      </c>
      <c r="I103">
        <v>296.5</v>
      </c>
      <c r="J103">
        <v>296.625</v>
      </c>
      <c r="K103">
        <v>294.625</v>
      </c>
      <c r="L103">
        <v>294.125</v>
      </c>
      <c r="M103">
        <v>295.75</v>
      </c>
      <c r="N103">
        <v>295.75</v>
      </c>
      <c r="O103">
        <v>297.5</v>
      </c>
      <c r="P103">
        <v>296</v>
      </c>
      <c r="Q103">
        <v>295.5</v>
      </c>
      <c r="R103">
        <v>297.625</v>
      </c>
      <c r="S103">
        <v>295.375</v>
      </c>
      <c r="T103">
        <v>294.5</v>
      </c>
      <c r="U103">
        <v>297.25</v>
      </c>
      <c r="V103">
        <v>297.875</v>
      </c>
      <c r="W103">
        <v>296.75</v>
      </c>
      <c r="X103" s="21">
        <f t="shared" si="2"/>
        <v>296.23124999999999</v>
      </c>
    </row>
    <row r="104" spans="1:24" x14ac:dyDescent="0.25">
      <c r="A104">
        <v>1300</v>
      </c>
      <c r="B104">
        <v>1</v>
      </c>
      <c r="C104" t="s">
        <v>41</v>
      </c>
      <c r="D104">
        <v>296.625</v>
      </c>
      <c r="E104">
        <v>297.5</v>
      </c>
      <c r="F104">
        <v>295.375</v>
      </c>
      <c r="G104">
        <v>294.625</v>
      </c>
      <c r="H104">
        <v>295.5</v>
      </c>
      <c r="I104">
        <v>295.125</v>
      </c>
      <c r="J104">
        <v>295.375</v>
      </c>
      <c r="K104">
        <v>294.75</v>
      </c>
      <c r="L104">
        <v>295.5</v>
      </c>
      <c r="M104">
        <v>295.875</v>
      </c>
      <c r="N104">
        <v>297.125</v>
      </c>
      <c r="O104">
        <v>294.375</v>
      </c>
      <c r="P104">
        <v>296.375</v>
      </c>
      <c r="Q104">
        <v>295.25</v>
      </c>
      <c r="R104">
        <v>294.75</v>
      </c>
      <c r="S104">
        <v>296.25</v>
      </c>
      <c r="T104">
        <v>295.875</v>
      </c>
      <c r="U104">
        <v>295.75</v>
      </c>
      <c r="V104">
        <v>294.125</v>
      </c>
      <c r="W104">
        <v>297.25</v>
      </c>
      <c r="X104" s="21">
        <f t="shared" si="2"/>
        <v>295.66874999999999</v>
      </c>
    </row>
    <row r="105" spans="1:24" x14ac:dyDescent="0.25">
      <c r="X105" s="32">
        <f>AVERAGE(X74:X104)</f>
        <v>297.28790322580647</v>
      </c>
    </row>
    <row r="110" spans="1:24" x14ac:dyDescent="0.25">
      <c r="A110">
        <v>700</v>
      </c>
      <c r="B110">
        <v>1</v>
      </c>
      <c r="C110" t="s">
        <v>40</v>
      </c>
      <c r="D110">
        <v>324.75</v>
      </c>
      <c r="E110">
        <v>324.625</v>
      </c>
      <c r="F110">
        <v>322.5</v>
      </c>
      <c r="G110">
        <v>322.875</v>
      </c>
      <c r="H110">
        <v>323</v>
      </c>
      <c r="I110">
        <v>323.5</v>
      </c>
      <c r="J110">
        <v>322.25</v>
      </c>
      <c r="K110">
        <v>321.625</v>
      </c>
      <c r="L110">
        <v>323.375</v>
      </c>
      <c r="M110">
        <v>324.625</v>
      </c>
      <c r="N110">
        <v>321</v>
      </c>
      <c r="O110">
        <v>320.5</v>
      </c>
      <c r="P110">
        <v>319.5</v>
      </c>
      <c r="Q110">
        <v>322.25</v>
      </c>
      <c r="R110">
        <v>320.25</v>
      </c>
      <c r="S110">
        <v>318.75</v>
      </c>
      <c r="T110">
        <v>318</v>
      </c>
      <c r="U110">
        <v>319.375</v>
      </c>
      <c r="V110">
        <v>321</v>
      </c>
      <c r="W110">
        <v>318.375</v>
      </c>
      <c r="X110" s="21">
        <f t="shared" ref="X110:X140" si="3">AVERAGE(D110:W110)</f>
        <v>321.60624999999999</v>
      </c>
    </row>
    <row r="111" spans="1:24" x14ac:dyDescent="0.25">
      <c r="A111">
        <v>720</v>
      </c>
      <c r="B111">
        <v>1</v>
      </c>
      <c r="C111" t="s">
        <v>40</v>
      </c>
      <c r="D111">
        <v>323.625</v>
      </c>
      <c r="E111">
        <v>325.5</v>
      </c>
      <c r="F111">
        <v>325</v>
      </c>
      <c r="G111">
        <v>323.75</v>
      </c>
      <c r="H111">
        <v>322.75</v>
      </c>
      <c r="I111">
        <v>323.375</v>
      </c>
      <c r="J111">
        <v>324.75</v>
      </c>
      <c r="K111">
        <v>322.875</v>
      </c>
      <c r="L111">
        <v>320.875</v>
      </c>
      <c r="M111">
        <v>322.125</v>
      </c>
      <c r="N111">
        <v>319.75</v>
      </c>
      <c r="O111">
        <v>320.375</v>
      </c>
      <c r="P111">
        <v>323.125</v>
      </c>
      <c r="Q111">
        <v>320.625</v>
      </c>
      <c r="R111">
        <v>320.625</v>
      </c>
      <c r="S111">
        <v>318.375</v>
      </c>
      <c r="T111">
        <v>320.125</v>
      </c>
      <c r="U111">
        <v>321.375</v>
      </c>
      <c r="V111">
        <v>320.25</v>
      </c>
      <c r="W111">
        <v>322.375</v>
      </c>
      <c r="X111" s="21">
        <f t="shared" si="3"/>
        <v>322.08125000000001</v>
      </c>
    </row>
    <row r="112" spans="1:24" x14ac:dyDescent="0.25">
      <c r="A112">
        <v>740</v>
      </c>
      <c r="B112">
        <v>1</v>
      </c>
      <c r="C112" t="s">
        <v>40</v>
      </c>
      <c r="D112">
        <v>322.125</v>
      </c>
      <c r="E112">
        <v>322.25</v>
      </c>
      <c r="F112">
        <v>324</v>
      </c>
      <c r="G112">
        <v>320.625</v>
      </c>
      <c r="H112">
        <v>322.5</v>
      </c>
      <c r="I112">
        <v>322</v>
      </c>
      <c r="J112">
        <v>320.25</v>
      </c>
      <c r="K112">
        <v>322.5</v>
      </c>
      <c r="L112">
        <v>320.5</v>
      </c>
      <c r="M112">
        <v>320.75</v>
      </c>
      <c r="N112">
        <v>319.125</v>
      </c>
      <c r="O112">
        <v>323.25</v>
      </c>
      <c r="P112">
        <v>323.25</v>
      </c>
      <c r="Q112">
        <v>319.25</v>
      </c>
      <c r="R112">
        <v>318.375</v>
      </c>
      <c r="S112">
        <v>320.625</v>
      </c>
      <c r="T112">
        <v>321.25</v>
      </c>
      <c r="U112">
        <v>319.125</v>
      </c>
      <c r="V112">
        <v>320.625</v>
      </c>
      <c r="W112">
        <v>321.5</v>
      </c>
      <c r="X112" s="21">
        <f t="shared" si="3"/>
        <v>321.19375000000002</v>
      </c>
    </row>
    <row r="113" spans="1:24" x14ac:dyDescent="0.25">
      <c r="A113">
        <v>760</v>
      </c>
      <c r="B113">
        <v>1</v>
      </c>
      <c r="C113" t="s">
        <v>40</v>
      </c>
      <c r="D113">
        <v>322.375</v>
      </c>
      <c r="E113">
        <v>321.375</v>
      </c>
      <c r="F113">
        <v>319.75</v>
      </c>
      <c r="G113">
        <v>322.25</v>
      </c>
      <c r="H113">
        <v>322.125</v>
      </c>
      <c r="I113">
        <v>320.875</v>
      </c>
      <c r="J113">
        <v>320.75</v>
      </c>
      <c r="K113">
        <v>319.25</v>
      </c>
      <c r="L113">
        <v>319.375</v>
      </c>
      <c r="M113">
        <v>321</v>
      </c>
      <c r="N113">
        <v>320.125</v>
      </c>
      <c r="O113">
        <v>320.375</v>
      </c>
      <c r="P113">
        <v>317.75</v>
      </c>
      <c r="Q113">
        <v>318.875</v>
      </c>
      <c r="R113">
        <v>318.5</v>
      </c>
      <c r="S113">
        <v>319</v>
      </c>
      <c r="T113">
        <v>318.25</v>
      </c>
      <c r="U113">
        <v>317.5</v>
      </c>
      <c r="V113">
        <v>319.375</v>
      </c>
      <c r="W113">
        <v>317.625</v>
      </c>
      <c r="X113" s="21">
        <f t="shared" si="3"/>
        <v>319.82499999999999</v>
      </c>
    </row>
    <row r="114" spans="1:24" x14ac:dyDescent="0.25">
      <c r="A114">
        <v>780</v>
      </c>
      <c r="B114">
        <v>1</v>
      </c>
      <c r="C114" t="s">
        <v>40</v>
      </c>
      <c r="D114">
        <v>319.5</v>
      </c>
      <c r="E114">
        <v>320.625</v>
      </c>
      <c r="F114">
        <v>317.125</v>
      </c>
      <c r="G114">
        <v>318.25</v>
      </c>
      <c r="H114">
        <v>318</v>
      </c>
      <c r="I114">
        <v>319.125</v>
      </c>
      <c r="J114">
        <v>318.375</v>
      </c>
      <c r="K114">
        <v>316.25</v>
      </c>
      <c r="L114">
        <v>320</v>
      </c>
      <c r="M114">
        <v>321.25</v>
      </c>
      <c r="N114">
        <v>318.125</v>
      </c>
      <c r="O114">
        <v>316.5</v>
      </c>
      <c r="P114">
        <v>318.25</v>
      </c>
      <c r="Q114">
        <v>318.25</v>
      </c>
      <c r="R114">
        <v>316.75</v>
      </c>
      <c r="S114">
        <v>318.625</v>
      </c>
      <c r="T114">
        <v>317.75</v>
      </c>
      <c r="U114">
        <v>318.125</v>
      </c>
      <c r="V114">
        <v>316.125</v>
      </c>
      <c r="W114">
        <v>315.75</v>
      </c>
      <c r="X114" s="21">
        <f t="shared" si="3"/>
        <v>318.13749999999999</v>
      </c>
    </row>
    <row r="115" spans="1:24" x14ac:dyDescent="0.25">
      <c r="A115">
        <v>800</v>
      </c>
      <c r="B115">
        <v>1</v>
      </c>
      <c r="C115" t="s">
        <v>40</v>
      </c>
      <c r="D115">
        <v>316.75</v>
      </c>
      <c r="E115">
        <v>317</v>
      </c>
      <c r="F115">
        <v>320.25</v>
      </c>
      <c r="G115">
        <v>316.25</v>
      </c>
      <c r="H115">
        <v>316.5</v>
      </c>
      <c r="I115">
        <v>317.375</v>
      </c>
      <c r="J115">
        <v>318.875</v>
      </c>
      <c r="K115">
        <v>318.25</v>
      </c>
      <c r="L115">
        <v>317.25</v>
      </c>
      <c r="M115">
        <v>317.625</v>
      </c>
      <c r="N115">
        <v>319.5</v>
      </c>
      <c r="O115">
        <v>316.875</v>
      </c>
      <c r="P115">
        <v>318.5</v>
      </c>
      <c r="Q115">
        <v>315.375</v>
      </c>
      <c r="R115">
        <v>315.75</v>
      </c>
      <c r="S115">
        <v>315.25</v>
      </c>
      <c r="T115">
        <v>317.125</v>
      </c>
      <c r="U115">
        <v>316.625</v>
      </c>
      <c r="V115">
        <v>314.75</v>
      </c>
      <c r="W115">
        <v>317.125</v>
      </c>
      <c r="X115" s="21">
        <f t="shared" si="3"/>
        <v>317.14999999999998</v>
      </c>
    </row>
    <row r="116" spans="1:24" x14ac:dyDescent="0.25">
      <c r="A116">
        <v>820</v>
      </c>
      <c r="B116">
        <v>1</v>
      </c>
      <c r="C116" t="s">
        <v>40</v>
      </c>
      <c r="D116">
        <v>320.25</v>
      </c>
      <c r="E116">
        <v>319.5</v>
      </c>
      <c r="F116">
        <v>318.75</v>
      </c>
      <c r="G116">
        <v>321.5</v>
      </c>
      <c r="H116">
        <v>319.375</v>
      </c>
      <c r="I116">
        <v>318.625</v>
      </c>
      <c r="J116">
        <v>318.75</v>
      </c>
      <c r="K116">
        <v>316.125</v>
      </c>
      <c r="L116">
        <v>316.25</v>
      </c>
      <c r="M116">
        <v>320.25</v>
      </c>
      <c r="N116">
        <v>318.625</v>
      </c>
      <c r="O116">
        <v>316</v>
      </c>
      <c r="P116">
        <v>317.625</v>
      </c>
      <c r="Q116">
        <v>316.25</v>
      </c>
      <c r="R116">
        <v>317.125</v>
      </c>
      <c r="S116">
        <v>318.25</v>
      </c>
      <c r="T116">
        <v>317.375</v>
      </c>
      <c r="U116">
        <v>317.375</v>
      </c>
      <c r="V116">
        <v>315</v>
      </c>
      <c r="W116">
        <v>314.375</v>
      </c>
      <c r="X116" s="21">
        <f t="shared" si="3"/>
        <v>317.86874999999998</v>
      </c>
    </row>
    <row r="117" spans="1:24" x14ac:dyDescent="0.25">
      <c r="A117">
        <v>840</v>
      </c>
      <c r="B117">
        <v>1</v>
      </c>
      <c r="C117" t="s">
        <v>40</v>
      </c>
      <c r="D117">
        <v>317.375</v>
      </c>
      <c r="E117">
        <v>317.5</v>
      </c>
      <c r="F117">
        <v>317</v>
      </c>
      <c r="G117">
        <v>318.75</v>
      </c>
      <c r="H117">
        <v>316.875</v>
      </c>
      <c r="I117">
        <v>317</v>
      </c>
      <c r="J117">
        <v>316.25</v>
      </c>
      <c r="K117">
        <v>317.25</v>
      </c>
      <c r="L117">
        <v>317.5</v>
      </c>
      <c r="M117">
        <v>317</v>
      </c>
      <c r="N117">
        <v>315.125</v>
      </c>
      <c r="O117">
        <v>315.125</v>
      </c>
      <c r="P117">
        <v>317.625</v>
      </c>
      <c r="Q117">
        <v>318.125</v>
      </c>
      <c r="R117">
        <v>317</v>
      </c>
      <c r="S117">
        <v>317.25</v>
      </c>
      <c r="T117">
        <v>313.75</v>
      </c>
      <c r="U117">
        <v>316.5</v>
      </c>
      <c r="V117">
        <v>314.75</v>
      </c>
      <c r="W117">
        <v>313.75</v>
      </c>
      <c r="X117" s="21">
        <f t="shared" si="3"/>
        <v>316.57499999999999</v>
      </c>
    </row>
    <row r="118" spans="1:24" x14ac:dyDescent="0.25">
      <c r="A118">
        <v>860</v>
      </c>
      <c r="B118">
        <v>1</v>
      </c>
      <c r="C118" t="s">
        <v>40</v>
      </c>
      <c r="D118">
        <v>315.375</v>
      </c>
      <c r="E118">
        <v>317.75</v>
      </c>
      <c r="F118">
        <v>317.25</v>
      </c>
      <c r="G118">
        <v>316.875</v>
      </c>
      <c r="H118">
        <v>314.5</v>
      </c>
      <c r="I118">
        <v>315.5</v>
      </c>
      <c r="J118">
        <v>317.75</v>
      </c>
      <c r="K118">
        <v>317.375</v>
      </c>
      <c r="L118">
        <v>317.75</v>
      </c>
      <c r="M118">
        <v>318.75</v>
      </c>
      <c r="N118">
        <v>315.375</v>
      </c>
      <c r="O118">
        <v>318.5</v>
      </c>
      <c r="P118">
        <v>316.625</v>
      </c>
      <c r="Q118">
        <v>317.625</v>
      </c>
      <c r="R118">
        <v>315.375</v>
      </c>
      <c r="S118">
        <v>314.375</v>
      </c>
      <c r="T118">
        <v>315.375</v>
      </c>
      <c r="U118">
        <v>315.125</v>
      </c>
      <c r="V118">
        <v>312.125</v>
      </c>
      <c r="W118">
        <v>314.625</v>
      </c>
      <c r="X118" s="21">
        <f t="shared" si="3"/>
        <v>316.2</v>
      </c>
    </row>
    <row r="119" spans="1:24" x14ac:dyDescent="0.25">
      <c r="A119">
        <v>880</v>
      </c>
      <c r="B119">
        <v>1</v>
      </c>
      <c r="C119" t="s">
        <v>40</v>
      </c>
      <c r="D119">
        <v>319.125</v>
      </c>
      <c r="E119">
        <v>317.125</v>
      </c>
      <c r="F119">
        <v>316.375</v>
      </c>
      <c r="G119">
        <v>317.5</v>
      </c>
      <c r="H119">
        <v>315.625</v>
      </c>
      <c r="I119">
        <v>316</v>
      </c>
      <c r="J119">
        <v>318.25</v>
      </c>
      <c r="K119">
        <v>315</v>
      </c>
      <c r="L119">
        <v>315.125</v>
      </c>
      <c r="M119">
        <v>314.875</v>
      </c>
      <c r="N119">
        <v>315.875</v>
      </c>
      <c r="O119">
        <v>315.875</v>
      </c>
      <c r="P119">
        <v>315.625</v>
      </c>
      <c r="Q119">
        <v>315.125</v>
      </c>
      <c r="R119">
        <v>315.375</v>
      </c>
      <c r="S119">
        <v>315.5</v>
      </c>
      <c r="T119">
        <v>315.75</v>
      </c>
      <c r="U119">
        <v>310.875</v>
      </c>
      <c r="V119">
        <v>315.75</v>
      </c>
      <c r="W119">
        <v>314.5</v>
      </c>
      <c r="X119" s="21">
        <f t="shared" si="3"/>
        <v>315.76249999999999</v>
      </c>
    </row>
    <row r="120" spans="1:24" x14ac:dyDescent="0.25">
      <c r="A120">
        <v>900</v>
      </c>
      <c r="B120">
        <v>1</v>
      </c>
      <c r="C120" t="s">
        <v>40</v>
      </c>
      <c r="D120">
        <v>317.625</v>
      </c>
      <c r="E120">
        <v>315.75</v>
      </c>
      <c r="F120">
        <v>319.125</v>
      </c>
      <c r="G120">
        <v>316.5</v>
      </c>
      <c r="H120">
        <v>316.375</v>
      </c>
      <c r="I120">
        <v>317</v>
      </c>
      <c r="J120">
        <v>316.125</v>
      </c>
      <c r="K120">
        <v>316.75</v>
      </c>
      <c r="L120">
        <v>314.25</v>
      </c>
      <c r="M120">
        <v>315.75</v>
      </c>
      <c r="N120">
        <v>313.625</v>
      </c>
      <c r="O120">
        <v>314.75</v>
      </c>
      <c r="P120">
        <v>315.25</v>
      </c>
      <c r="Q120">
        <v>314.75</v>
      </c>
      <c r="R120">
        <v>316.75</v>
      </c>
      <c r="S120">
        <v>317</v>
      </c>
      <c r="T120">
        <v>316.125</v>
      </c>
      <c r="U120">
        <v>315.625</v>
      </c>
      <c r="V120">
        <v>315.5</v>
      </c>
      <c r="W120">
        <v>314</v>
      </c>
      <c r="X120" s="21">
        <f t="shared" si="3"/>
        <v>315.93124999999998</v>
      </c>
    </row>
    <row r="121" spans="1:24" x14ac:dyDescent="0.25">
      <c r="A121">
        <v>920</v>
      </c>
      <c r="B121">
        <v>1</v>
      </c>
      <c r="C121" t="s">
        <v>40</v>
      </c>
      <c r="D121">
        <v>316.5</v>
      </c>
      <c r="E121">
        <v>316.625</v>
      </c>
      <c r="F121">
        <v>318.75</v>
      </c>
      <c r="G121">
        <v>316.25</v>
      </c>
      <c r="H121">
        <v>316.75</v>
      </c>
      <c r="I121">
        <v>315.5</v>
      </c>
      <c r="J121">
        <v>318</v>
      </c>
      <c r="K121">
        <v>316</v>
      </c>
      <c r="L121">
        <v>316.125</v>
      </c>
      <c r="M121">
        <v>313.625</v>
      </c>
      <c r="N121">
        <v>315.375</v>
      </c>
      <c r="O121">
        <v>315.75</v>
      </c>
      <c r="P121">
        <v>315.125</v>
      </c>
      <c r="Q121">
        <v>314.875</v>
      </c>
      <c r="R121">
        <v>314</v>
      </c>
      <c r="S121">
        <v>315.5</v>
      </c>
      <c r="T121">
        <v>314.375</v>
      </c>
      <c r="U121">
        <v>315</v>
      </c>
      <c r="V121">
        <v>311.25</v>
      </c>
      <c r="W121">
        <v>315.125</v>
      </c>
      <c r="X121" s="21">
        <f t="shared" si="3"/>
        <v>315.52499999999998</v>
      </c>
    </row>
    <row r="122" spans="1:24" x14ac:dyDescent="0.25">
      <c r="A122">
        <v>940</v>
      </c>
      <c r="B122">
        <v>1</v>
      </c>
      <c r="C122" t="s">
        <v>40</v>
      </c>
      <c r="D122">
        <v>316</v>
      </c>
      <c r="E122">
        <v>317</v>
      </c>
      <c r="F122">
        <v>313.75</v>
      </c>
      <c r="G122">
        <v>316.5</v>
      </c>
      <c r="H122">
        <v>316.75</v>
      </c>
      <c r="I122">
        <v>316.375</v>
      </c>
      <c r="J122">
        <v>313.75</v>
      </c>
      <c r="K122">
        <v>316.875</v>
      </c>
      <c r="L122">
        <v>316.25</v>
      </c>
      <c r="M122">
        <v>315</v>
      </c>
      <c r="N122">
        <v>316.75</v>
      </c>
      <c r="O122">
        <v>315.875</v>
      </c>
      <c r="P122">
        <v>315.375</v>
      </c>
      <c r="Q122">
        <v>314.75</v>
      </c>
      <c r="R122">
        <v>312.75</v>
      </c>
      <c r="S122">
        <v>315.375</v>
      </c>
      <c r="T122">
        <v>316.5</v>
      </c>
      <c r="U122">
        <v>314.75</v>
      </c>
      <c r="V122">
        <v>314.25</v>
      </c>
      <c r="W122">
        <v>314.125</v>
      </c>
      <c r="X122" s="21">
        <f t="shared" si="3"/>
        <v>315.4375</v>
      </c>
    </row>
    <row r="123" spans="1:24" x14ac:dyDescent="0.25">
      <c r="A123">
        <v>960</v>
      </c>
      <c r="B123">
        <v>1</v>
      </c>
      <c r="C123" t="s">
        <v>40</v>
      </c>
      <c r="D123">
        <v>315.75</v>
      </c>
      <c r="E123">
        <v>315</v>
      </c>
      <c r="F123">
        <v>315</v>
      </c>
      <c r="G123">
        <v>313.25</v>
      </c>
      <c r="H123">
        <v>316.375</v>
      </c>
      <c r="I123">
        <v>314.875</v>
      </c>
      <c r="J123">
        <v>314</v>
      </c>
      <c r="K123">
        <v>313</v>
      </c>
      <c r="L123">
        <v>315.25</v>
      </c>
      <c r="M123">
        <v>312.75</v>
      </c>
      <c r="N123">
        <v>312.25</v>
      </c>
      <c r="O123">
        <v>313.375</v>
      </c>
      <c r="P123">
        <v>313.875</v>
      </c>
      <c r="Q123">
        <v>315.25</v>
      </c>
      <c r="R123">
        <v>314.125</v>
      </c>
      <c r="S123">
        <v>315</v>
      </c>
      <c r="T123">
        <v>313</v>
      </c>
      <c r="U123">
        <v>312.625</v>
      </c>
      <c r="V123">
        <v>312.125</v>
      </c>
      <c r="W123">
        <v>314.375</v>
      </c>
      <c r="X123" s="21">
        <f t="shared" si="3"/>
        <v>314.0625</v>
      </c>
    </row>
    <row r="124" spans="1:24" x14ac:dyDescent="0.25">
      <c r="A124">
        <v>980</v>
      </c>
      <c r="B124">
        <v>1</v>
      </c>
      <c r="C124" t="s">
        <v>40</v>
      </c>
      <c r="D124">
        <v>315.125</v>
      </c>
      <c r="E124">
        <v>315.75</v>
      </c>
      <c r="F124">
        <v>316.625</v>
      </c>
      <c r="G124">
        <v>317</v>
      </c>
      <c r="H124">
        <v>314.125</v>
      </c>
      <c r="I124">
        <v>317.25</v>
      </c>
      <c r="J124">
        <v>312.75</v>
      </c>
      <c r="K124">
        <v>313.625</v>
      </c>
      <c r="L124">
        <v>315.75</v>
      </c>
      <c r="M124">
        <v>314</v>
      </c>
      <c r="N124">
        <v>313.5</v>
      </c>
      <c r="O124">
        <v>314.125</v>
      </c>
      <c r="P124">
        <v>314.75</v>
      </c>
      <c r="Q124">
        <v>312.5</v>
      </c>
      <c r="R124">
        <v>313.625</v>
      </c>
      <c r="S124">
        <v>314.625</v>
      </c>
      <c r="T124">
        <v>311.5</v>
      </c>
      <c r="U124">
        <v>315.375</v>
      </c>
      <c r="V124">
        <v>312.625</v>
      </c>
      <c r="W124">
        <v>312.375</v>
      </c>
      <c r="X124" s="21">
        <f t="shared" si="3"/>
        <v>314.35000000000002</v>
      </c>
    </row>
    <row r="125" spans="1:24" x14ac:dyDescent="0.25">
      <c r="A125">
        <v>1000</v>
      </c>
      <c r="B125">
        <v>1</v>
      </c>
      <c r="C125" t="s">
        <v>40</v>
      </c>
      <c r="D125">
        <v>314</v>
      </c>
      <c r="E125">
        <v>315.5</v>
      </c>
      <c r="F125">
        <v>315</v>
      </c>
      <c r="G125">
        <v>315</v>
      </c>
      <c r="H125">
        <v>313.375</v>
      </c>
      <c r="I125">
        <v>313.5</v>
      </c>
      <c r="J125">
        <v>314.375</v>
      </c>
      <c r="K125">
        <v>313.875</v>
      </c>
      <c r="L125">
        <v>313.375</v>
      </c>
      <c r="M125">
        <v>314.75</v>
      </c>
      <c r="N125">
        <v>312.5</v>
      </c>
      <c r="O125">
        <v>311.5</v>
      </c>
      <c r="P125">
        <v>313.875</v>
      </c>
      <c r="Q125">
        <v>314.25</v>
      </c>
      <c r="R125">
        <v>311.5</v>
      </c>
      <c r="S125">
        <v>309.875</v>
      </c>
      <c r="T125">
        <v>314.625</v>
      </c>
      <c r="U125">
        <v>312.25</v>
      </c>
      <c r="V125">
        <v>314.75</v>
      </c>
      <c r="W125">
        <v>311.75</v>
      </c>
      <c r="X125" s="21">
        <f t="shared" si="3"/>
        <v>313.48124999999999</v>
      </c>
    </row>
    <row r="126" spans="1:24" x14ac:dyDescent="0.25">
      <c r="A126">
        <v>1020</v>
      </c>
      <c r="B126">
        <v>1</v>
      </c>
      <c r="C126" t="s">
        <v>40</v>
      </c>
      <c r="D126">
        <v>313.375</v>
      </c>
      <c r="E126">
        <v>315.875</v>
      </c>
      <c r="F126">
        <v>314.625</v>
      </c>
      <c r="G126">
        <v>314.125</v>
      </c>
      <c r="H126">
        <v>316.125</v>
      </c>
      <c r="I126">
        <v>312.5</v>
      </c>
      <c r="J126">
        <v>314.25</v>
      </c>
      <c r="K126">
        <v>316.5</v>
      </c>
      <c r="L126">
        <v>314.75</v>
      </c>
      <c r="M126">
        <v>315.25</v>
      </c>
      <c r="N126">
        <v>312.5</v>
      </c>
      <c r="O126">
        <v>314.5</v>
      </c>
      <c r="P126">
        <v>314.5</v>
      </c>
      <c r="Q126">
        <v>314.375</v>
      </c>
      <c r="R126">
        <v>314.25</v>
      </c>
      <c r="S126">
        <v>314.75</v>
      </c>
      <c r="T126">
        <v>314.125</v>
      </c>
      <c r="U126">
        <v>313.25</v>
      </c>
      <c r="V126">
        <v>312.125</v>
      </c>
      <c r="W126">
        <v>309.375</v>
      </c>
      <c r="X126" s="21">
        <f t="shared" si="3"/>
        <v>314.05624999999998</v>
      </c>
    </row>
    <row r="127" spans="1:24" x14ac:dyDescent="0.25">
      <c r="A127">
        <v>1040</v>
      </c>
      <c r="B127">
        <v>1</v>
      </c>
      <c r="C127" t="s">
        <v>40</v>
      </c>
      <c r="D127">
        <v>315.5</v>
      </c>
      <c r="E127">
        <v>315.25</v>
      </c>
      <c r="F127">
        <v>314</v>
      </c>
      <c r="G127">
        <v>313</v>
      </c>
      <c r="H127">
        <v>314.75</v>
      </c>
      <c r="I127">
        <v>314.625</v>
      </c>
      <c r="J127">
        <v>312.5</v>
      </c>
      <c r="K127">
        <v>315.25</v>
      </c>
      <c r="L127">
        <v>313.75</v>
      </c>
      <c r="M127">
        <v>313.125</v>
      </c>
      <c r="N127">
        <v>314.375</v>
      </c>
      <c r="O127">
        <v>311.875</v>
      </c>
      <c r="P127">
        <v>313.125</v>
      </c>
      <c r="Q127">
        <v>311.25</v>
      </c>
      <c r="R127">
        <v>313.5</v>
      </c>
      <c r="S127">
        <v>310.75</v>
      </c>
      <c r="T127">
        <v>310</v>
      </c>
      <c r="U127">
        <v>311</v>
      </c>
      <c r="V127">
        <v>311.25</v>
      </c>
      <c r="W127">
        <v>313.375</v>
      </c>
      <c r="X127" s="21">
        <f t="shared" si="3"/>
        <v>313.11250000000001</v>
      </c>
    </row>
    <row r="128" spans="1:24" x14ac:dyDescent="0.25">
      <c r="A128">
        <v>1060</v>
      </c>
      <c r="B128">
        <v>1</v>
      </c>
      <c r="C128" t="s">
        <v>40</v>
      </c>
      <c r="D128">
        <v>312.75</v>
      </c>
      <c r="E128">
        <v>314.5</v>
      </c>
      <c r="F128">
        <v>313.75</v>
      </c>
      <c r="G128">
        <v>313.25</v>
      </c>
      <c r="H128">
        <v>312</v>
      </c>
      <c r="I128">
        <v>316.25</v>
      </c>
      <c r="J128">
        <v>315</v>
      </c>
      <c r="K128">
        <v>313.75</v>
      </c>
      <c r="L128">
        <v>313</v>
      </c>
      <c r="M128">
        <v>313</v>
      </c>
      <c r="N128">
        <v>313.125</v>
      </c>
      <c r="O128">
        <v>315.125</v>
      </c>
      <c r="P128">
        <v>311.625</v>
      </c>
      <c r="Q128">
        <v>315.125</v>
      </c>
      <c r="R128">
        <v>311.375</v>
      </c>
      <c r="S128">
        <v>312.625</v>
      </c>
      <c r="T128">
        <v>312</v>
      </c>
      <c r="U128">
        <v>310.875</v>
      </c>
      <c r="V128">
        <v>311.375</v>
      </c>
      <c r="W128">
        <v>312.5</v>
      </c>
      <c r="X128" s="21">
        <f t="shared" si="3"/>
        <v>313.14999999999998</v>
      </c>
    </row>
    <row r="129" spans="1:24" x14ac:dyDescent="0.25">
      <c r="A129">
        <v>1080</v>
      </c>
      <c r="B129">
        <v>1</v>
      </c>
      <c r="C129" t="s">
        <v>40</v>
      </c>
      <c r="D129">
        <v>315.5</v>
      </c>
      <c r="E129">
        <v>316.375</v>
      </c>
      <c r="F129">
        <v>312.75</v>
      </c>
      <c r="G129">
        <v>312.625</v>
      </c>
      <c r="H129">
        <v>314.75</v>
      </c>
      <c r="I129">
        <v>313.125</v>
      </c>
      <c r="J129">
        <v>313.5</v>
      </c>
      <c r="K129">
        <v>310.625</v>
      </c>
      <c r="L129">
        <v>312</v>
      </c>
      <c r="M129">
        <v>310.125</v>
      </c>
      <c r="N129">
        <v>314.5</v>
      </c>
      <c r="O129">
        <v>313.375</v>
      </c>
      <c r="P129">
        <v>312.5</v>
      </c>
      <c r="Q129">
        <v>314.125</v>
      </c>
      <c r="R129">
        <v>312.375</v>
      </c>
      <c r="S129">
        <v>312.875</v>
      </c>
      <c r="T129">
        <v>310.5</v>
      </c>
      <c r="U129">
        <v>310.75</v>
      </c>
      <c r="V129">
        <v>311.125</v>
      </c>
      <c r="W129">
        <v>309.625</v>
      </c>
      <c r="X129" s="21">
        <f t="shared" si="3"/>
        <v>312.65625</v>
      </c>
    </row>
    <row r="130" spans="1:24" x14ac:dyDescent="0.25">
      <c r="A130">
        <v>1100</v>
      </c>
      <c r="B130">
        <v>1</v>
      </c>
      <c r="C130" t="s">
        <v>40</v>
      </c>
      <c r="D130">
        <v>317</v>
      </c>
      <c r="E130">
        <v>316.875</v>
      </c>
      <c r="F130">
        <v>314.75</v>
      </c>
      <c r="G130">
        <v>314.25</v>
      </c>
      <c r="H130">
        <v>313.625</v>
      </c>
      <c r="I130">
        <v>313.5</v>
      </c>
      <c r="J130">
        <v>312</v>
      </c>
      <c r="K130">
        <v>313.75</v>
      </c>
      <c r="L130">
        <v>313</v>
      </c>
      <c r="M130">
        <v>314.875</v>
      </c>
      <c r="N130">
        <v>315</v>
      </c>
      <c r="O130">
        <v>316.125</v>
      </c>
      <c r="P130">
        <v>314.875</v>
      </c>
      <c r="Q130">
        <v>312.25</v>
      </c>
      <c r="R130">
        <v>312.75</v>
      </c>
      <c r="S130">
        <v>311.875</v>
      </c>
      <c r="T130">
        <v>312.5</v>
      </c>
      <c r="U130">
        <v>311.25</v>
      </c>
      <c r="V130">
        <v>311.25</v>
      </c>
      <c r="W130">
        <v>313</v>
      </c>
      <c r="X130" s="21">
        <f t="shared" si="3"/>
        <v>313.72500000000002</v>
      </c>
    </row>
    <row r="131" spans="1:24" x14ac:dyDescent="0.25">
      <c r="A131">
        <v>1120</v>
      </c>
      <c r="B131">
        <v>1</v>
      </c>
      <c r="C131" t="s">
        <v>40</v>
      </c>
      <c r="D131">
        <v>318.75</v>
      </c>
      <c r="E131">
        <v>316.5</v>
      </c>
      <c r="F131">
        <v>316.75</v>
      </c>
      <c r="G131">
        <v>316</v>
      </c>
      <c r="H131">
        <v>316.25</v>
      </c>
      <c r="I131">
        <v>317.125</v>
      </c>
      <c r="J131">
        <v>318.5</v>
      </c>
      <c r="K131">
        <v>316.5</v>
      </c>
      <c r="L131">
        <v>313.125</v>
      </c>
      <c r="M131">
        <v>313.75</v>
      </c>
      <c r="N131">
        <v>313.25</v>
      </c>
      <c r="O131">
        <v>313.25</v>
      </c>
      <c r="P131">
        <v>314.5</v>
      </c>
      <c r="Q131">
        <v>317.25</v>
      </c>
      <c r="R131">
        <v>316.625</v>
      </c>
      <c r="S131">
        <v>313.875</v>
      </c>
      <c r="T131">
        <v>315.875</v>
      </c>
      <c r="U131">
        <v>314.5</v>
      </c>
      <c r="V131">
        <v>312</v>
      </c>
      <c r="W131">
        <v>315.5</v>
      </c>
      <c r="X131" s="21">
        <f t="shared" si="3"/>
        <v>315.49374999999998</v>
      </c>
    </row>
    <row r="132" spans="1:24" x14ac:dyDescent="0.25">
      <c r="A132">
        <v>1140</v>
      </c>
      <c r="B132">
        <v>1</v>
      </c>
      <c r="C132" t="s">
        <v>40</v>
      </c>
      <c r="D132">
        <v>319.125</v>
      </c>
      <c r="E132">
        <v>319.5</v>
      </c>
      <c r="F132">
        <v>315.5</v>
      </c>
      <c r="G132">
        <v>319.5</v>
      </c>
      <c r="H132">
        <v>319.25</v>
      </c>
      <c r="I132">
        <v>315.25</v>
      </c>
      <c r="J132">
        <v>318.875</v>
      </c>
      <c r="K132">
        <v>316.125</v>
      </c>
      <c r="L132">
        <v>316.625</v>
      </c>
      <c r="M132">
        <v>319</v>
      </c>
      <c r="N132">
        <v>315.75</v>
      </c>
      <c r="O132">
        <v>316.125</v>
      </c>
      <c r="P132">
        <v>313.5</v>
      </c>
      <c r="Q132">
        <v>313.625</v>
      </c>
      <c r="R132">
        <v>314.125</v>
      </c>
      <c r="S132">
        <v>315.625</v>
      </c>
      <c r="T132">
        <v>313</v>
      </c>
      <c r="U132">
        <v>314.125</v>
      </c>
      <c r="V132">
        <v>313.75</v>
      </c>
      <c r="W132">
        <v>314.625</v>
      </c>
      <c r="X132" s="21">
        <f t="shared" si="3"/>
        <v>316.14999999999998</v>
      </c>
    </row>
    <row r="133" spans="1:24" x14ac:dyDescent="0.25">
      <c r="A133">
        <v>1160</v>
      </c>
      <c r="B133">
        <v>1</v>
      </c>
      <c r="C133" t="s">
        <v>40</v>
      </c>
      <c r="D133">
        <v>320.875</v>
      </c>
      <c r="E133">
        <v>322.75</v>
      </c>
      <c r="F133">
        <v>322.125</v>
      </c>
      <c r="G133">
        <v>324.375</v>
      </c>
      <c r="H133">
        <v>321.25</v>
      </c>
      <c r="I133">
        <v>323.75</v>
      </c>
      <c r="J133">
        <v>320.5</v>
      </c>
      <c r="K133">
        <v>321.75</v>
      </c>
      <c r="L133">
        <v>320.875</v>
      </c>
      <c r="M133">
        <v>320.75</v>
      </c>
      <c r="N133">
        <v>321.75</v>
      </c>
      <c r="O133">
        <v>319.625</v>
      </c>
      <c r="P133">
        <v>318.25</v>
      </c>
      <c r="Q133">
        <v>320.875</v>
      </c>
      <c r="R133">
        <v>320.625</v>
      </c>
      <c r="S133">
        <v>320.125</v>
      </c>
      <c r="T133">
        <v>319.5</v>
      </c>
      <c r="U133">
        <v>315.25</v>
      </c>
      <c r="V133">
        <v>321</v>
      </c>
      <c r="W133">
        <v>318.875</v>
      </c>
      <c r="X133" s="21">
        <f t="shared" si="3"/>
        <v>320.74374999999998</v>
      </c>
    </row>
    <row r="134" spans="1:24" x14ac:dyDescent="0.25">
      <c r="A134">
        <v>1180</v>
      </c>
      <c r="B134">
        <v>1</v>
      </c>
      <c r="C134" t="s">
        <v>40</v>
      </c>
      <c r="D134">
        <v>315.375</v>
      </c>
      <c r="E134">
        <v>315.5</v>
      </c>
      <c r="F134">
        <v>318.875</v>
      </c>
      <c r="G134">
        <v>316.5</v>
      </c>
      <c r="H134">
        <v>318.375</v>
      </c>
      <c r="I134">
        <v>318.5</v>
      </c>
      <c r="J134">
        <v>318</v>
      </c>
      <c r="K134">
        <v>319.125</v>
      </c>
      <c r="L134">
        <v>315.5</v>
      </c>
      <c r="M134">
        <v>314.875</v>
      </c>
      <c r="N134">
        <v>317.5</v>
      </c>
      <c r="O134">
        <v>316.75</v>
      </c>
      <c r="P134">
        <v>316.375</v>
      </c>
      <c r="Q134">
        <v>315</v>
      </c>
      <c r="R134">
        <v>314.875</v>
      </c>
      <c r="S134">
        <v>316.75</v>
      </c>
      <c r="T134">
        <v>317.375</v>
      </c>
      <c r="U134">
        <v>317.75</v>
      </c>
      <c r="V134">
        <v>318.125</v>
      </c>
      <c r="W134">
        <v>315.125</v>
      </c>
      <c r="X134" s="21">
        <f t="shared" si="3"/>
        <v>316.8125</v>
      </c>
    </row>
    <row r="135" spans="1:24" x14ac:dyDescent="0.25">
      <c r="A135">
        <v>1200</v>
      </c>
      <c r="B135">
        <v>1</v>
      </c>
      <c r="C135" t="s">
        <v>40</v>
      </c>
      <c r="D135">
        <v>320.5</v>
      </c>
      <c r="E135">
        <v>319.875</v>
      </c>
      <c r="F135">
        <v>318.25</v>
      </c>
      <c r="G135">
        <v>320.125</v>
      </c>
      <c r="H135">
        <v>318.875</v>
      </c>
      <c r="I135">
        <v>319</v>
      </c>
      <c r="J135">
        <v>318.375</v>
      </c>
      <c r="K135">
        <v>319.5</v>
      </c>
      <c r="L135">
        <v>317.25</v>
      </c>
      <c r="M135">
        <v>319.875</v>
      </c>
      <c r="N135">
        <v>320.5</v>
      </c>
      <c r="O135">
        <v>318.875</v>
      </c>
      <c r="P135">
        <v>318.375</v>
      </c>
      <c r="Q135">
        <v>317.25</v>
      </c>
      <c r="R135">
        <v>318</v>
      </c>
      <c r="S135">
        <v>317.875</v>
      </c>
      <c r="T135">
        <v>316.375</v>
      </c>
      <c r="U135">
        <v>315.875</v>
      </c>
      <c r="V135">
        <v>317.75</v>
      </c>
      <c r="W135">
        <v>318.625</v>
      </c>
      <c r="X135" s="21">
        <f t="shared" si="3"/>
        <v>318.55624999999998</v>
      </c>
    </row>
    <row r="136" spans="1:24" x14ac:dyDescent="0.25">
      <c r="A136">
        <v>1220</v>
      </c>
      <c r="B136">
        <v>1</v>
      </c>
      <c r="C136" t="s">
        <v>40</v>
      </c>
      <c r="D136">
        <v>320.25</v>
      </c>
      <c r="E136">
        <v>319.125</v>
      </c>
      <c r="F136">
        <v>320</v>
      </c>
      <c r="G136">
        <v>317.75</v>
      </c>
      <c r="H136">
        <v>317.625</v>
      </c>
      <c r="I136">
        <v>314.625</v>
      </c>
      <c r="J136">
        <v>315</v>
      </c>
      <c r="K136">
        <v>316.25</v>
      </c>
      <c r="L136">
        <v>316.25</v>
      </c>
      <c r="M136">
        <v>317.625</v>
      </c>
      <c r="N136">
        <v>317.5</v>
      </c>
      <c r="O136">
        <v>317.75</v>
      </c>
      <c r="P136">
        <v>315.375</v>
      </c>
      <c r="Q136">
        <v>316.125</v>
      </c>
      <c r="R136">
        <v>316.5</v>
      </c>
      <c r="S136">
        <v>315.625</v>
      </c>
      <c r="T136">
        <v>316.25</v>
      </c>
      <c r="U136">
        <v>315.75</v>
      </c>
      <c r="V136">
        <v>317.625</v>
      </c>
      <c r="W136">
        <v>314.5</v>
      </c>
      <c r="X136" s="21">
        <f t="shared" si="3"/>
        <v>316.875</v>
      </c>
    </row>
    <row r="137" spans="1:24" x14ac:dyDescent="0.25">
      <c r="A137">
        <v>1240</v>
      </c>
      <c r="B137">
        <v>1</v>
      </c>
      <c r="C137" t="s">
        <v>40</v>
      </c>
      <c r="D137">
        <v>315.875</v>
      </c>
      <c r="E137">
        <v>318.375</v>
      </c>
      <c r="F137">
        <v>314.125</v>
      </c>
      <c r="G137">
        <v>313</v>
      </c>
      <c r="H137">
        <v>314.875</v>
      </c>
      <c r="I137">
        <v>318.625</v>
      </c>
      <c r="J137">
        <v>316.75</v>
      </c>
      <c r="K137">
        <v>316.25</v>
      </c>
      <c r="L137">
        <v>315.25</v>
      </c>
      <c r="M137">
        <v>315.75</v>
      </c>
      <c r="N137">
        <v>317</v>
      </c>
      <c r="O137">
        <v>316.875</v>
      </c>
      <c r="P137">
        <v>315.75</v>
      </c>
      <c r="Q137">
        <v>313.625</v>
      </c>
      <c r="R137">
        <v>315.5</v>
      </c>
      <c r="S137">
        <v>316.75</v>
      </c>
      <c r="T137">
        <v>316</v>
      </c>
      <c r="U137">
        <v>315.75</v>
      </c>
      <c r="V137">
        <v>316</v>
      </c>
      <c r="W137">
        <v>314.875</v>
      </c>
      <c r="X137" s="21">
        <f t="shared" si="3"/>
        <v>315.85000000000002</v>
      </c>
    </row>
    <row r="138" spans="1:24" x14ac:dyDescent="0.25">
      <c r="A138">
        <v>1260</v>
      </c>
      <c r="B138">
        <v>1</v>
      </c>
      <c r="C138" t="s">
        <v>40</v>
      </c>
      <c r="D138">
        <v>317.625</v>
      </c>
      <c r="E138">
        <v>313.5</v>
      </c>
      <c r="F138">
        <v>313.875</v>
      </c>
      <c r="G138">
        <v>316.625</v>
      </c>
      <c r="H138">
        <v>315.75</v>
      </c>
      <c r="I138">
        <v>315.375</v>
      </c>
      <c r="J138">
        <v>313.625</v>
      </c>
      <c r="K138">
        <v>316.25</v>
      </c>
      <c r="L138">
        <v>315.625</v>
      </c>
      <c r="M138">
        <v>316.875</v>
      </c>
      <c r="N138">
        <v>311.75</v>
      </c>
      <c r="O138">
        <v>314.75</v>
      </c>
      <c r="P138">
        <v>314.125</v>
      </c>
      <c r="Q138">
        <v>315.875</v>
      </c>
      <c r="R138">
        <v>312.875</v>
      </c>
      <c r="S138">
        <v>314.5</v>
      </c>
      <c r="T138">
        <v>314.25</v>
      </c>
      <c r="U138">
        <v>313.875</v>
      </c>
      <c r="V138">
        <v>314.875</v>
      </c>
      <c r="W138">
        <v>315.125</v>
      </c>
      <c r="X138" s="21">
        <f t="shared" si="3"/>
        <v>314.85624999999999</v>
      </c>
    </row>
    <row r="139" spans="1:24" x14ac:dyDescent="0.25">
      <c r="A139">
        <v>1280</v>
      </c>
      <c r="B139">
        <v>1</v>
      </c>
      <c r="C139" t="s">
        <v>40</v>
      </c>
      <c r="D139">
        <v>316.75</v>
      </c>
      <c r="E139">
        <v>317.5</v>
      </c>
      <c r="F139">
        <v>319.25</v>
      </c>
      <c r="G139">
        <v>319.25</v>
      </c>
      <c r="H139">
        <v>318.375</v>
      </c>
      <c r="I139">
        <v>318.75</v>
      </c>
      <c r="J139">
        <v>318</v>
      </c>
      <c r="K139">
        <v>316.25</v>
      </c>
      <c r="L139">
        <v>315.25</v>
      </c>
      <c r="M139">
        <v>317.625</v>
      </c>
      <c r="N139">
        <v>317.25</v>
      </c>
      <c r="O139">
        <v>318.25</v>
      </c>
      <c r="P139">
        <v>315.75</v>
      </c>
      <c r="Q139">
        <v>317.125</v>
      </c>
      <c r="R139">
        <v>316.5</v>
      </c>
      <c r="S139">
        <v>315.25</v>
      </c>
      <c r="T139">
        <v>314.75</v>
      </c>
      <c r="U139">
        <v>317.125</v>
      </c>
      <c r="V139">
        <v>315.875</v>
      </c>
      <c r="W139">
        <v>316.5</v>
      </c>
      <c r="X139" s="21">
        <f t="shared" si="3"/>
        <v>317.06875000000002</v>
      </c>
    </row>
    <row r="140" spans="1:24" x14ac:dyDescent="0.25">
      <c r="A140">
        <v>1300</v>
      </c>
      <c r="B140">
        <v>1</v>
      </c>
      <c r="C140" t="s">
        <v>40</v>
      </c>
      <c r="D140">
        <v>316</v>
      </c>
      <c r="E140">
        <v>317.125</v>
      </c>
      <c r="F140">
        <v>317</v>
      </c>
      <c r="G140">
        <v>316.875</v>
      </c>
      <c r="H140">
        <v>316.125</v>
      </c>
      <c r="I140">
        <v>316.125</v>
      </c>
      <c r="J140">
        <v>314.625</v>
      </c>
      <c r="K140">
        <v>316.75</v>
      </c>
      <c r="L140">
        <v>316.75</v>
      </c>
      <c r="M140">
        <v>315.375</v>
      </c>
      <c r="N140">
        <v>316</v>
      </c>
      <c r="O140">
        <v>314.75</v>
      </c>
      <c r="P140">
        <v>315.375</v>
      </c>
      <c r="Q140">
        <v>314.5</v>
      </c>
      <c r="R140">
        <v>313.625</v>
      </c>
      <c r="S140">
        <v>315.5</v>
      </c>
      <c r="T140">
        <v>314</v>
      </c>
      <c r="U140">
        <v>315.75</v>
      </c>
      <c r="V140">
        <v>314.375</v>
      </c>
      <c r="W140">
        <v>314.75</v>
      </c>
      <c r="X140" s="21">
        <f t="shared" si="3"/>
        <v>315.56875000000002</v>
      </c>
    </row>
    <row r="141" spans="1:24" x14ac:dyDescent="0.25">
      <c r="X141" s="32">
        <f>AVERAGE(X110:X140)</f>
        <v>316.44717741935489</v>
      </c>
    </row>
  </sheetData>
  <sortState xmlns:xlrd2="http://schemas.microsoft.com/office/spreadsheetml/2017/richdata2" ref="A1:W140">
    <sortCondition ref="B1:B140"/>
    <sortCondition ref="C1:C140"/>
    <sortCondition ref="A1:A14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A51F6-A09A-4DA0-9835-BB4911263CBE}">
  <sheetPr>
    <tabColor theme="9" tint="0.39997558519241921"/>
  </sheetPr>
  <dimension ref="A1:X157"/>
  <sheetViews>
    <sheetView workbookViewId="0">
      <selection activeCell="L34" sqref="L34"/>
    </sheetView>
  </sheetViews>
  <sheetFormatPr baseColWidth="10" defaultRowHeight="15" x14ac:dyDescent="0.25"/>
  <cols>
    <col min="1" max="1" width="4.42578125" bestFit="1" customWidth="1"/>
    <col min="2" max="2" width="3" customWidth="1"/>
    <col min="3" max="3" width="3.85546875" bestFit="1" customWidth="1"/>
    <col min="4" max="23" width="8" bestFit="1" customWidth="1"/>
  </cols>
  <sheetData>
    <row r="1" spans="1:24" x14ac:dyDescent="0.25">
      <c r="A1" s="22" t="s">
        <v>38</v>
      </c>
      <c r="B1" s="22" t="s">
        <v>39</v>
      </c>
      <c r="C1" s="22" t="s">
        <v>41</v>
      </c>
      <c r="D1" s="22">
        <v>363.125</v>
      </c>
      <c r="E1" s="22">
        <v>364.5</v>
      </c>
      <c r="F1" s="22">
        <v>360.5</v>
      </c>
      <c r="G1" s="22">
        <v>355.875</v>
      </c>
      <c r="H1" s="22">
        <v>364.125</v>
      </c>
      <c r="I1" s="22">
        <v>362.5</v>
      </c>
      <c r="J1" s="22">
        <v>363.5</v>
      </c>
      <c r="K1" s="22">
        <v>359.875</v>
      </c>
      <c r="L1" s="22">
        <v>365.625</v>
      </c>
      <c r="M1" s="22">
        <v>365.875</v>
      </c>
      <c r="N1" s="22">
        <v>362.125</v>
      </c>
      <c r="O1" s="22">
        <v>352.5</v>
      </c>
      <c r="P1" s="22">
        <v>365.25</v>
      </c>
      <c r="Q1" s="22">
        <v>362.875</v>
      </c>
      <c r="R1" s="22">
        <v>362.75</v>
      </c>
      <c r="S1" s="22">
        <v>362.25</v>
      </c>
      <c r="T1" s="22">
        <v>361.625</v>
      </c>
      <c r="U1" s="22">
        <v>360</v>
      </c>
      <c r="V1" s="22">
        <v>364.25</v>
      </c>
      <c r="W1" s="22">
        <v>361.125</v>
      </c>
      <c r="X1" s="21">
        <f t="shared" ref="X1:X35" si="0">AVERAGE(D1:W1)</f>
        <v>362.01249999999999</v>
      </c>
    </row>
    <row r="2" spans="1:24" x14ac:dyDescent="0.25">
      <c r="A2" s="22" t="s">
        <v>43</v>
      </c>
      <c r="B2" s="22" t="s">
        <v>39</v>
      </c>
      <c r="C2" s="22" t="s">
        <v>41</v>
      </c>
      <c r="D2" s="22">
        <v>344.375</v>
      </c>
      <c r="E2" s="22">
        <v>345</v>
      </c>
      <c r="F2" s="22">
        <v>345.875</v>
      </c>
      <c r="G2" s="22">
        <v>344.375</v>
      </c>
      <c r="H2" s="22">
        <v>342.875</v>
      </c>
      <c r="I2" s="22">
        <v>342.875</v>
      </c>
      <c r="J2" s="22">
        <v>342.75</v>
      </c>
      <c r="K2" s="22">
        <v>343.5</v>
      </c>
      <c r="L2" s="22">
        <v>341.875</v>
      </c>
      <c r="M2" s="22">
        <v>343</v>
      </c>
      <c r="N2" s="22">
        <v>344.875</v>
      </c>
      <c r="O2" s="22">
        <v>344.5</v>
      </c>
      <c r="P2" s="22">
        <v>346.75</v>
      </c>
      <c r="Q2" s="22">
        <v>345.125</v>
      </c>
      <c r="R2" s="22">
        <v>344.625</v>
      </c>
      <c r="S2" s="22">
        <v>348</v>
      </c>
      <c r="T2" s="22">
        <v>345.125</v>
      </c>
      <c r="U2" s="22">
        <v>345.875</v>
      </c>
      <c r="V2" s="22">
        <v>343.875</v>
      </c>
      <c r="W2" s="22">
        <v>345</v>
      </c>
      <c r="X2" s="21">
        <f t="shared" si="0"/>
        <v>344.51249999999999</v>
      </c>
    </row>
    <row r="3" spans="1:24" x14ac:dyDescent="0.25">
      <c r="A3" s="22" t="s">
        <v>44</v>
      </c>
      <c r="B3" s="22" t="s">
        <v>39</v>
      </c>
      <c r="C3" s="22" t="s">
        <v>41</v>
      </c>
      <c r="D3" s="22">
        <v>336.125</v>
      </c>
      <c r="E3" s="22">
        <v>336.375</v>
      </c>
      <c r="F3" s="22">
        <v>337.125</v>
      </c>
      <c r="G3" s="22">
        <v>337.25</v>
      </c>
      <c r="H3" s="22">
        <v>335.875</v>
      </c>
      <c r="I3" s="22">
        <v>335.125</v>
      </c>
      <c r="J3" s="22">
        <v>335.25</v>
      </c>
      <c r="K3" s="22">
        <v>335.625</v>
      </c>
      <c r="L3" s="22">
        <v>336.625</v>
      </c>
      <c r="M3" s="22">
        <v>336.25</v>
      </c>
      <c r="N3" s="22">
        <v>333.875</v>
      </c>
      <c r="O3" s="22">
        <v>336.25</v>
      </c>
      <c r="P3" s="22">
        <v>334.75</v>
      </c>
      <c r="Q3" s="22">
        <v>335.875</v>
      </c>
      <c r="R3" s="22">
        <v>337</v>
      </c>
      <c r="S3" s="22">
        <v>336.625</v>
      </c>
      <c r="T3" s="22">
        <v>336.25</v>
      </c>
      <c r="U3" s="22">
        <v>336.25</v>
      </c>
      <c r="V3" s="22">
        <v>337.375</v>
      </c>
      <c r="W3" s="22">
        <v>335</v>
      </c>
      <c r="X3" s="21">
        <f t="shared" si="0"/>
        <v>336.04374999999999</v>
      </c>
    </row>
    <row r="4" spans="1:24" x14ac:dyDescent="0.25">
      <c r="A4" s="22" t="s">
        <v>45</v>
      </c>
      <c r="B4" s="22" t="s">
        <v>39</v>
      </c>
      <c r="C4" s="22" t="s">
        <v>41</v>
      </c>
      <c r="D4" s="22">
        <v>328.875</v>
      </c>
      <c r="E4" s="22">
        <v>331.75</v>
      </c>
      <c r="F4" s="22">
        <v>331.25</v>
      </c>
      <c r="G4" s="22">
        <v>330.25</v>
      </c>
      <c r="H4" s="22">
        <v>329</v>
      </c>
      <c r="I4" s="22">
        <v>331.5</v>
      </c>
      <c r="J4" s="22">
        <v>331.375</v>
      </c>
      <c r="K4" s="22">
        <v>332.125</v>
      </c>
      <c r="L4" s="22">
        <v>331.75</v>
      </c>
      <c r="M4" s="22">
        <v>331</v>
      </c>
      <c r="N4" s="22">
        <v>330.875</v>
      </c>
      <c r="O4" s="22">
        <v>334.625</v>
      </c>
      <c r="P4" s="22">
        <v>331.125</v>
      </c>
      <c r="Q4" s="22">
        <v>331</v>
      </c>
      <c r="R4" s="22">
        <v>332.125</v>
      </c>
      <c r="S4" s="22">
        <v>329.75</v>
      </c>
      <c r="T4" s="22">
        <v>328.875</v>
      </c>
      <c r="U4" s="22">
        <v>329.5</v>
      </c>
      <c r="V4" s="22">
        <v>331</v>
      </c>
      <c r="W4" s="22">
        <v>331.125</v>
      </c>
      <c r="X4" s="21">
        <f t="shared" si="0"/>
        <v>330.94375000000002</v>
      </c>
    </row>
    <row r="5" spans="1:24" x14ac:dyDescent="0.25">
      <c r="A5" s="22" t="s">
        <v>46</v>
      </c>
      <c r="B5" s="22" t="s">
        <v>39</v>
      </c>
      <c r="C5" s="22" t="s">
        <v>41</v>
      </c>
      <c r="D5" s="22">
        <v>329.375</v>
      </c>
      <c r="E5" s="22">
        <v>329.5</v>
      </c>
      <c r="F5" s="22">
        <v>329.125</v>
      </c>
      <c r="G5" s="22">
        <v>326.375</v>
      </c>
      <c r="H5" s="22">
        <v>327.5</v>
      </c>
      <c r="I5" s="22">
        <v>328.25</v>
      </c>
      <c r="J5" s="22">
        <v>327.5</v>
      </c>
      <c r="K5" s="22">
        <v>327.625</v>
      </c>
      <c r="L5" s="22">
        <v>327</v>
      </c>
      <c r="M5" s="22">
        <v>326.125</v>
      </c>
      <c r="N5" s="22">
        <v>327.125</v>
      </c>
      <c r="O5" s="22">
        <v>328.5</v>
      </c>
      <c r="P5" s="22">
        <v>326.625</v>
      </c>
      <c r="Q5" s="22">
        <v>327.5</v>
      </c>
      <c r="R5" s="22">
        <v>326.75</v>
      </c>
      <c r="S5" s="22">
        <v>326.25</v>
      </c>
      <c r="T5" s="22">
        <v>327.75</v>
      </c>
      <c r="U5" s="22">
        <v>329.125</v>
      </c>
      <c r="V5" s="22">
        <v>326.75</v>
      </c>
      <c r="W5" s="22">
        <v>328</v>
      </c>
      <c r="X5" s="21">
        <f t="shared" si="0"/>
        <v>327.63749999999999</v>
      </c>
    </row>
    <row r="6" spans="1:24" x14ac:dyDescent="0.25">
      <c r="A6" s="22" t="s">
        <v>47</v>
      </c>
      <c r="B6" s="22" t="s">
        <v>39</v>
      </c>
      <c r="C6" s="22" t="s">
        <v>41</v>
      </c>
      <c r="D6" s="22">
        <v>326</v>
      </c>
      <c r="E6" s="22">
        <v>326.375</v>
      </c>
      <c r="F6" s="22">
        <v>326.75</v>
      </c>
      <c r="G6" s="22">
        <v>325.75</v>
      </c>
      <c r="H6" s="22">
        <v>326.5</v>
      </c>
      <c r="I6" s="22">
        <v>323.5</v>
      </c>
      <c r="J6" s="22">
        <v>324</v>
      </c>
      <c r="K6" s="22">
        <v>326.5</v>
      </c>
      <c r="L6" s="22">
        <v>325.625</v>
      </c>
      <c r="M6" s="22">
        <v>324.75</v>
      </c>
      <c r="N6" s="22">
        <v>325.25</v>
      </c>
      <c r="O6" s="22">
        <v>324</v>
      </c>
      <c r="P6" s="22">
        <v>326.875</v>
      </c>
      <c r="Q6" s="22">
        <v>325.625</v>
      </c>
      <c r="R6" s="22">
        <v>325.25</v>
      </c>
      <c r="S6" s="22">
        <v>324.625</v>
      </c>
      <c r="T6" s="22">
        <v>323</v>
      </c>
      <c r="U6" s="22">
        <v>322.5</v>
      </c>
      <c r="V6" s="22">
        <v>325.625</v>
      </c>
      <c r="W6" s="22">
        <v>322.125</v>
      </c>
      <c r="X6" s="21">
        <f t="shared" si="0"/>
        <v>325.03125</v>
      </c>
    </row>
    <row r="7" spans="1:24" x14ac:dyDescent="0.25">
      <c r="A7" s="22" t="s">
        <v>48</v>
      </c>
      <c r="B7" s="22" t="s">
        <v>39</v>
      </c>
      <c r="C7" s="22" t="s">
        <v>41</v>
      </c>
      <c r="D7" s="22">
        <v>326.875</v>
      </c>
      <c r="E7" s="22">
        <v>324.375</v>
      </c>
      <c r="F7" s="22">
        <v>324.75</v>
      </c>
      <c r="G7" s="22">
        <v>325.25</v>
      </c>
      <c r="H7" s="22">
        <v>325.125</v>
      </c>
      <c r="I7" s="22">
        <v>324.375</v>
      </c>
      <c r="J7" s="22">
        <v>324.25</v>
      </c>
      <c r="K7" s="22">
        <v>324.5</v>
      </c>
      <c r="L7" s="22">
        <v>322.875</v>
      </c>
      <c r="M7" s="22">
        <v>326.875</v>
      </c>
      <c r="N7" s="22">
        <v>325.5</v>
      </c>
      <c r="O7" s="22">
        <v>325.375</v>
      </c>
      <c r="P7" s="22">
        <v>323.5</v>
      </c>
      <c r="Q7" s="22">
        <v>324.875</v>
      </c>
      <c r="R7" s="22">
        <v>324.75</v>
      </c>
      <c r="S7" s="22">
        <v>324.75</v>
      </c>
      <c r="T7" s="22">
        <v>325</v>
      </c>
      <c r="U7" s="22">
        <v>325.375</v>
      </c>
      <c r="V7" s="22">
        <v>322.125</v>
      </c>
      <c r="W7" s="22">
        <v>324</v>
      </c>
      <c r="X7" s="21">
        <f t="shared" si="0"/>
        <v>324.72500000000002</v>
      </c>
    </row>
    <row r="8" spans="1:24" x14ac:dyDescent="0.25">
      <c r="A8" s="22" t="s">
        <v>49</v>
      </c>
      <c r="B8" s="22" t="s">
        <v>39</v>
      </c>
      <c r="C8" s="22" t="s">
        <v>41</v>
      </c>
      <c r="D8" s="22">
        <v>323.5</v>
      </c>
      <c r="E8" s="22">
        <v>321.625</v>
      </c>
      <c r="F8" s="22">
        <v>321.625</v>
      </c>
      <c r="G8" s="22">
        <v>322.125</v>
      </c>
      <c r="H8" s="22">
        <v>323.375</v>
      </c>
      <c r="I8" s="22">
        <v>324.375</v>
      </c>
      <c r="J8" s="22">
        <v>322.125</v>
      </c>
      <c r="K8" s="22">
        <v>323.75</v>
      </c>
      <c r="L8" s="22">
        <v>323.875</v>
      </c>
      <c r="M8" s="22">
        <v>322.75</v>
      </c>
      <c r="N8" s="22">
        <v>324.75</v>
      </c>
      <c r="O8" s="22">
        <v>325.125</v>
      </c>
      <c r="P8" s="22">
        <v>323.75</v>
      </c>
      <c r="Q8" s="22">
        <v>323.125</v>
      </c>
      <c r="R8" s="22">
        <v>323</v>
      </c>
      <c r="S8" s="22">
        <v>323</v>
      </c>
      <c r="T8" s="22">
        <v>323.125</v>
      </c>
      <c r="U8" s="22">
        <v>322.25</v>
      </c>
      <c r="V8" s="22">
        <v>320.75</v>
      </c>
      <c r="W8" s="22">
        <v>324.25</v>
      </c>
      <c r="X8" s="21">
        <f t="shared" si="0"/>
        <v>323.11250000000001</v>
      </c>
    </row>
    <row r="9" spans="1:24" x14ac:dyDescent="0.25">
      <c r="A9" s="22" t="s">
        <v>50</v>
      </c>
      <c r="B9" s="22" t="s">
        <v>39</v>
      </c>
      <c r="C9" s="22" t="s">
        <v>41</v>
      </c>
      <c r="D9" s="22">
        <v>323.25</v>
      </c>
      <c r="E9" s="22">
        <v>321.625</v>
      </c>
      <c r="F9" s="22">
        <v>319.75</v>
      </c>
      <c r="G9" s="22">
        <v>321.125</v>
      </c>
      <c r="H9" s="22">
        <v>323.125</v>
      </c>
      <c r="I9" s="22">
        <v>321.125</v>
      </c>
      <c r="J9" s="22">
        <v>320.125</v>
      </c>
      <c r="K9" s="22">
        <v>321.875</v>
      </c>
      <c r="L9" s="22">
        <v>323.5</v>
      </c>
      <c r="M9" s="22">
        <v>321.125</v>
      </c>
      <c r="N9" s="22">
        <v>319.625</v>
      </c>
      <c r="O9" s="22">
        <v>321.125</v>
      </c>
      <c r="P9" s="22">
        <v>323</v>
      </c>
      <c r="Q9" s="22">
        <v>321</v>
      </c>
      <c r="R9" s="22">
        <v>322.375</v>
      </c>
      <c r="S9" s="22">
        <v>323.875</v>
      </c>
      <c r="T9" s="22">
        <v>322.875</v>
      </c>
      <c r="U9" s="22">
        <v>320.125</v>
      </c>
      <c r="V9" s="22">
        <v>323.75</v>
      </c>
      <c r="W9" s="22">
        <v>320.875</v>
      </c>
      <c r="X9" s="21">
        <f t="shared" si="0"/>
        <v>321.76249999999999</v>
      </c>
    </row>
    <row r="10" spans="1:24" x14ac:dyDescent="0.25">
      <c r="A10" s="22" t="s">
        <v>51</v>
      </c>
      <c r="B10" s="22" t="s">
        <v>39</v>
      </c>
      <c r="C10" s="22" t="s">
        <v>41</v>
      </c>
      <c r="D10" s="22">
        <v>318.875</v>
      </c>
      <c r="E10" s="22">
        <v>320.625</v>
      </c>
      <c r="F10" s="22">
        <v>319.125</v>
      </c>
      <c r="G10" s="22">
        <v>322.125</v>
      </c>
      <c r="H10" s="22">
        <v>322.625</v>
      </c>
      <c r="I10" s="22">
        <v>322.25</v>
      </c>
      <c r="J10" s="22">
        <v>323</v>
      </c>
      <c r="K10" s="22">
        <v>320.375</v>
      </c>
      <c r="L10" s="22">
        <v>319.375</v>
      </c>
      <c r="M10" s="22">
        <v>322.625</v>
      </c>
      <c r="N10" s="22">
        <v>320.25</v>
      </c>
      <c r="O10" s="22">
        <v>319.25</v>
      </c>
      <c r="P10" s="22">
        <v>319.625</v>
      </c>
      <c r="Q10" s="22">
        <v>320</v>
      </c>
      <c r="R10" s="22">
        <v>319.75</v>
      </c>
      <c r="S10" s="22">
        <v>320</v>
      </c>
      <c r="T10" s="22">
        <v>320.875</v>
      </c>
      <c r="U10" s="22">
        <v>318.875</v>
      </c>
      <c r="V10" s="22">
        <v>321.125</v>
      </c>
      <c r="W10" s="22">
        <v>320.375</v>
      </c>
      <c r="X10" s="21">
        <f t="shared" si="0"/>
        <v>320.55624999999998</v>
      </c>
    </row>
    <row r="11" spans="1:24" x14ac:dyDescent="0.25">
      <c r="A11" s="22" t="s">
        <v>52</v>
      </c>
      <c r="B11" s="22" t="s">
        <v>39</v>
      </c>
      <c r="C11" s="22" t="s">
        <v>41</v>
      </c>
      <c r="D11" s="22">
        <v>318.25</v>
      </c>
      <c r="E11" s="22">
        <v>317.75</v>
      </c>
      <c r="F11" s="22">
        <v>318</v>
      </c>
      <c r="G11" s="22">
        <v>320</v>
      </c>
      <c r="H11" s="22">
        <v>318.75</v>
      </c>
      <c r="I11" s="22">
        <v>317.75</v>
      </c>
      <c r="J11" s="22">
        <v>317.875</v>
      </c>
      <c r="K11" s="22">
        <v>316.625</v>
      </c>
      <c r="L11" s="22">
        <v>318.625</v>
      </c>
      <c r="M11" s="22">
        <v>318.875</v>
      </c>
      <c r="N11" s="22">
        <v>320.375</v>
      </c>
      <c r="O11" s="22">
        <v>321.25</v>
      </c>
      <c r="P11" s="22">
        <v>319.875</v>
      </c>
      <c r="Q11" s="22">
        <v>320.125</v>
      </c>
      <c r="R11" s="22">
        <v>322.375</v>
      </c>
      <c r="S11" s="22">
        <v>319.125</v>
      </c>
      <c r="T11" s="22">
        <v>320</v>
      </c>
      <c r="U11" s="22">
        <v>321.375</v>
      </c>
      <c r="V11" s="22">
        <v>319.75</v>
      </c>
      <c r="W11" s="22">
        <v>321.25</v>
      </c>
      <c r="X11" s="21">
        <f t="shared" si="0"/>
        <v>319.39999999999998</v>
      </c>
    </row>
    <row r="12" spans="1:24" x14ac:dyDescent="0.25">
      <c r="A12" s="22" t="s">
        <v>53</v>
      </c>
      <c r="B12" s="22" t="s">
        <v>39</v>
      </c>
      <c r="C12" s="22" t="s">
        <v>41</v>
      </c>
      <c r="D12" s="22">
        <v>317.375</v>
      </c>
      <c r="E12" s="22">
        <v>316.125</v>
      </c>
      <c r="F12" s="22">
        <v>318.75</v>
      </c>
      <c r="G12" s="22">
        <v>319.5</v>
      </c>
      <c r="H12" s="22">
        <v>318.5</v>
      </c>
      <c r="I12" s="22">
        <v>318.625</v>
      </c>
      <c r="J12" s="22">
        <v>316.875</v>
      </c>
      <c r="K12" s="22">
        <v>317.25</v>
      </c>
      <c r="L12" s="22">
        <v>317</v>
      </c>
      <c r="M12" s="22">
        <v>316.25</v>
      </c>
      <c r="N12" s="22">
        <v>315.75</v>
      </c>
      <c r="O12" s="22">
        <v>315.75</v>
      </c>
      <c r="P12" s="22">
        <v>318.375</v>
      </c>
      <c r="Q12" s="22">
        <v>316.625</v>
      </c>
      <c r="R12" s="22">
        <v>317.5</v>
      </c>
      <c r="S12" s="22">
        <v>318.25</v>
      </c>
      <c r="T12" s="22">
        <v>318.625</v>
      </c>
      <c r="U12" s="22">
        <v>317.25</v>
      </c>
      <c r="V12" s="22">
        <v>318</v>
      </c>
      <c r="W12" s="22">
        <v>317.25</v>
      </c>
      <c r="X12" s="21">
        <f t="shared" si="0"/>
        <v>317.48124999999999</v>
      </c>
    </row>
    <row r="13" spans="1:24" x14ac:dyDescent="0.25">
      <c r="A13" s="22" t="s">
        <v>54</v>
      </c>
      <c r="B13" s="22" t="s">
        <v>39</v>
      </c>
      <c r="C13" s="22" t="s">
        <v>41</v>
      </c>
      <c r="D13" s="22">
        <v>317</v>
      </c>
      <c r="E13" s="22">
        <v>317.625</v>
      </c>
      <c r="F13" s="22">
        <v>316.75</v>
      </c>
      <c r="G13" s="22">
        <v>317.5</v>
      </c>
      <c r="H13" s="22">
        <v>315.75</v>
      </c>
      <c r="I13" s="22">
        <v>318</v>
      </c>
      <c r="J13" s="22">
        <v>316.75</v>
      </c>
      <c r="K13" s="22">
        <v>317.75</v>
      </c>
      <c r="L13" s="22">
        <v>318.5</v>
      </c>
      <c r="M13" s="22">
        <v>317.25</v>
      </c>
      <c r="N13" s="22">
        <v>318</v>
      </c>
      <c r="O13" s="22">
        <v>318.875</v>
      </c>
      <c r="P13" s="22">
        <v>319.875</v>
      </c>
      <c r="Q13" s="22">
        <v>318.625</v>
      </c>
      <c r="R13" s="22">
        <v>319</v>
      </c>
      <c r="S13" s="22">
        <v>318.625</v>
      </c>
      <c r="T13" s="22">
        <v>316.625</v>
      </c>
      <c r="U13" s="22">
        <v>316.25</v>
      </c>
      <c r="V13" s="22">
        <v>317.75</v>
      </c>
      <c r="W13" s="22">
        <v>315.5</v>
      </c>
      <c r="X13" s="21">
        <f t="shared" si="0"/>
        <v>317.60000000000002</v>
      </c>
    </row>
    <row r="14" spans="1:24" x14ac:dyDescent="0.25">
      <c r="A14" s="22" t="s">
        <v>55</v>
      </c>
      <c r="B14" s="22" t="s">
        <v>39</v>
      </c>
      <c r="C14" s="22" t="s">
        <v>41</v>
      </c>
      <c r="D14" s="22">
        <v>315.75</v>
      </c>
      <c r="E14" s="22">
        <v>317</v>
      </c>
      <c r="F14" s="22">
        <v>315.125</v>
      </c>
      <c r="G14" s="22">
        <v>314.875</v>
      </c>
      <c r="H14" s="22">
        <v>313.5</v>
      </c>
      <c r="I14" s="22">
        <v>315.625</v>
      </c>
      <c r="J14" s="22">
        <v>314.375</v>
      </c>
      <c r="K14" s="22">
        <v>314.5</v>
      </c>
      <c r="L14" s="22">
        <v>314.125</v>
      </c>
      <c r="M14" s="22">
        <v>315.375</v>
      </c>
      <c r="N14" s="22">
        <v>316.875</v>
      </c>
      <c r="O14" s="22">
        <v>317.375</v>
      </c>
      <c r="P14" s="22">
        <v>316.625</v>
      </c>
      <c r="Q14" s="22">
        <v>316.375</v>
      </c>
      <c r="R14" s="22">
        <v>316.5</v>
      </c>
      <c r="S14" s="22">
        <v>315.875</v>
      </c>
      <c r="T14" s="22">
        <v>316.125</v>
      </c>
      <c r="U14" s="22">
        <v>316.5</v>
      </c>
      <c r="V14" s="22">
        <v>318.75</v>
      </c>
      <c r="W14" s="22">
        <v>315.25</v>
      </c>
      <c r="X14" s="21">
        <f t="shared" si="0"/>
        <v>315.82499999999999</v>
      </c>
    </row>
    <row r="15" spans="1:24" x14ac:dyDescent="0.25">
      <c r="A15" s="22" t="s">
        <v>56</v>
      </c>
      <c r="B15" s="22" t="s">
        <v>39</v>
      </c>
      <c r="C15" s="22" t="s">
        <v>41</v>
      </c>
      <c r="D15" s="22">
        <v>315.375</v>
      </c>
      <c r="E15" s="22">
        <v>316.125</v>
      </c>
      <c r="F15" s="22">
        <v>315.25</v>
      </c>
      <c r="G15" s="22">
        <v>313.375</v>
      </c>
      <c r="H15" s="22">
        <v>312.5</v>
      </c>
      <c r="I15" s="22">
        <v>315.25</v>
      </c>
      <c r="J15" s="22">
        <v>315.125</v>
      </c>
      <c r="K15" s="22">
        <v>317.5</v>
      </c>
      <c r="L15" s="22">
        <v>313.375</v>
      </c>
      <c r="M15" s="22">
        <v>314.625</v>
      </c>
      <c r="N15" s="22">
        <v>313</v>
      </c>
      <c r="O15" s="22">
        <v>315.75</v>
      </c>
      <c r="P15" s="22">
        <v>316.875</v>
      </c>
      <c r="Q15" s="22">
        <v>314</v>
      </c>
      <c r="R15" s="22">
        <v>314.375</v>
      </c>
      <c r="S15" s="22">
        <v>313</v>
      </c>
      <c r="T15" s="22">
        <v>317.75</v>
      </c>
      <c r="U15" s="22">
        <v>314.375</v>
      </c>
      <c r="V15" s="22">
        <v>313.75</v>
      </c>
      <c r="W15" s="22">
        <v>315.375</v>
      </c>
      <c r="X15" s="21">
        <f t="shared" si="0"/>
        <v>314.83749999999998</v>
      </c>
    </row>
    <row r="16" spans="1:24" x14ac:dyDescent="0.25">
      <c r="A16" s="22" t="s">
        <v>57</v>
      </c>
      <c r="B16" s="22" t="s">
        <v>39</v>
      </c>
      <c r="C16" s="22" t="s">
        <v>41</v>
      </c>
      <c r="D16" s="22">
        <v>315.125</v>
      </c>
      <c r="E16" s="22">
        <v>311.75</v>
      </c>
      <c r="F16" s="22">
        <v>310.75</v>
      </c>
      <c r="G16" s="22">
        <v>313.625</v>
      </c>
      <c r="H16" s="22">
        <v>312.25</v>
      </c>
      <c r="I16" s="22">
        <v>314.125</v>
      </c>
      <c r="J16" s="22">
        <v>311.875</v>
      </c>
      <c r="K16" s="22">
        <v>312.875</v>
      </c>
      <c r="L16" s="22">
        <v>311.375</v>
      </c>
      <c r="M16" s="22">
        <v>314</v>
      </c>
      <c r="N16" s="22">
        <v>311.5</v>
      </c>
      <c r="O16" s="22">
        <v>318</v>
      </c>
      <c r="P16" s="22">
        <v>309.25</v>
      </c>
      <c r="Q16" s="22">
        <v>309.75</v>
      </c>
      <c r="R16" s="22">
        <v>313.875</v>
      </c>
      <c r="S16" s="22">
        <v>313.625</v>
      </c>
      <c r="T16" s="22">
        <v>312.5</v>
      </c>
      <c r="U16" s="22">
        <v>312.125</v>
      </c>
      <c r="V16" s="22">
        <v>311.625</v>
      </c>
      <c r="W16" s="22">
        <v>313.125</v>
      </c>
      <c r="X16" s="21">
        <f t="shared" si="0"/>
        <v>312.65625</v>
      </c>
    </row>
    <row r="17" spans="1:24" x14ac:dyDescent="0.25">
      <c r="A17" s="14" t="s">
        <v>58</v>
      </c>
      <c r="B17" s="14" t="s">
        <v>39</v>
      </c>
      <c r="C17" s="14" t="s">
        <v>41</v>
      </c>
      <c r="D17" s="14">
        <v>308.125</v>
      </c>
      <c r="E17" s="14">
        <v>311.875</v>
      </c>
      <c r="F17" s="14">
        <v>310.875</v>
      </c>
      <c r="G17" s="14">
        <v>308.375</v>
      </c>
      <c r="H17" s="14">
        <v>309.5</v>
      </c>
      <c r="I17" s="14">
        <v>310.375</v>
      </c>
      <c r="J17" s="14">
        <v>312.125</v>
      </c>
      <c r="K17" s="14">
        <v>312.75</v>
      </c>
      <c r="L17" s="14">
        <v>315.125</v>
      </c>
      <c r="M17" s="14">
        <v>310.625</v>
      </c>
      <c r="N17" s="14">
        <v>312.25</v>
      </c>
      <c r="O17" s="14">
        <v>313</v>
      </c>
      <c r="P17" s="14">
        <v>308.625</v>
      </c>
      <c r="Q17" s="14">
        <v>315.875</v>
      </c>
      <c r="R17" s="14">
        <v>308.5</v>
      </c>
      <c r="S17" s="14">
        <v>309.5</v>
      </c>
      <c r="T17" s="14">
        <v>310</v>
      </c>
      <c r="U17" s="14">
        <v>310.25</v>
      </c>
      <c r="V17" s="14">
        <v>311.5</v>
      </c>
      <c r="W17" s="14">
        <v>311.5</v>
      </c>
      <c r="X17" s="5">
        <f t="shared" si="0"/>
        <v>311.03750000000002</v>
      </c>
    </row>
    <row r="18" spans="1:24" x14ac:dyDescent="0.25">
      <c r="A18" s="14" t="s">
        <v>59</v>
      </c>
      <c r="B18" s="14" t="s">
        <v>39</v>
      </c>
      <c r="C18" s="14" t="s">
        <v>41</v>
      </c>
      <c r="D18" s="14">
        <v>310.5</v>
      </c>
      <c r="E18" s="14">
        <v>311.625</v>
      </c>
      <c r="F18" s="14">
        <v>310.875</v>
      </c>
      <c r="G18" s="14">
        <v>308.75</v>
      </c>
      <c r="H18" s="14">
        <v>308</v>
      </c>
      <c r="I18" s="14">
        <v>308.625</v>
      </c>
      <c r="J18" s="14">
        <v>310.125</v>
      </c>
      <c r="K18" s="14">
        <v>308.875</v>
      </c>
      <c r="L18" s="14">
        <v>310.25</v>
      </c>
      <c r="M18" s="14">
        <v>311.875</v>
      </c>
      <c r="N18" s="14">
        <v>311.5</v>
      </c>
      <c r="O18" s="14">
        <v>309.5</v>
      </c>
      <c r="P18" s="14">
        <v>309</v>
      </c>
      <c r="Q18" s="14">
        <v>308.25</v>
      </c>
      <c r="R18" s="14">
        <v>308.875</v>
      </c>
      <c r="S18" s="14">
        <v>309.875</v>
      </c>
      <c r="T18" s="14">
        <v>309.125</v>
      </c>
      <c r="U18" s="14">
        <v>308.875</v>
      </c>
      <c r="V18" s="14">
        <v>307.625</v>
      </c>
      <c r="W18" s="14">
        <v>309.625</v>
      </c>
      <c r="X18" s="5">
        <f t="shared" si="0"/>
        <v>309.58749999999998</v>
      </c>
    </row>
    <row r="19" spans="1:24" x14ac:dyDescent="0.25">
      <c r="A19" s="14" t="s">
        <v>60</v>
      </c>
      <c r="B19" s="14" t="s">
        <v>39</v>
      </c>
      <c r="C19" s="14" t="s">
        <v>41</v>
      </c>
      <c r="D19" s="14">
        <v>311</v>
      </c>
      <c r="E19" s="14">
        <v>311.5</v>
      </c>
      <c r="F19" s="14">
        <v>312</v>
      </c>
      <c r="G19" s="14">
        <v>309.375</v>
      </c>
      <c r="H19" s="14">
        <v>308.875</v>
      </c>
      <c r="I19" s="14">
        <v>310.25</v>
      </c>
      <c r="J19" s="14">
        <v>308.375</v>
      </c>
      <c r="K19" s="14">
        <v>309.25</v>
      </c>
      <c r="L19" s="14">
        <v>311.125</v>
      </c>
      <c r="M19" s="14">
        <v>309</v>
      </c>
      <c r="N19" s="14">
        <v>310.75</v>
      </c>
      <c r="O19" s="14">
        <v>312.25</v>
      </c>
      <c r="P19" s="14">
        <v>310</v>
      </c>
      <c r="Q19" s="14">
        <v>310.375</v>
      </c>
      <c r="R19" s="14">
        <v>311.125</v>
      </c>
      <c r="S19" s="14">
        <v>311.5</v>
      </c>
      <c r="T19" s="14">
        <v>309</v>
      </c>
      <c r="U19" s="14">
        <v>310</v>
      </c>
      <c r="V19" s="14">
        <v>309</v>
      </c>
      <c r="W19" s="14">
        <v>308.25</v>
      </c>
      <c r="X19" s="5">
        <f t="shared" si="0"/>
        <v>310.14999999999998</v>
      </c>
    </row>
    <row r="20" spans="1:24" x14ac:dyDescent="0.25">
      <c r="A20" s="14" t="s">
        <v>61</v>
      </c>
      <c r="B20" s="14" t="s">
        <v>39</v>
      </c>
      <c r="C20" s="14" t="s">
        <v>41</v>
      </c>
      <c r="D20" s="14">
        <v>309.125</v>
      </c>
      <c r="E20" s="14">
        <v>308.25</v>
      </c>
      <c r="F20" s="14">
        <v>309.125</v>
      </c>
      <c r="G20" s="14">
        <v>312.75</v>
      </c>
      <c r="H20" s="14">
        <v>308.75</v>
      </c>
      <c r="I20" s="14">
        <v>312.625</v>
      </c>
      <c r="J20" s="14">
        <v>308</v>
      </c>
      <c r="K20" s="14">
        <v>304.625</v>
      </c>
      <c r="L20" s="14">
        <v>307.125</v>
      </c>
      <c r="M20" s="14">
        <v>311.75</v>
      </c>
      <c r="N20" s="14">
        <v>310.375</v>
      </c>
      <c r="O20" s="14">
        <v>313.25</v>
      </c>
      <c r="P20" s="14">
        <v>307.5</v>
      </c>
      <c r="Q20" s="14">
        <v>308.125</v>
      </c>
      <c r="R20" s="14">
        <v>309.875</v>
      </c>
      <c r="S20" s="14">
        <v>307.375</v>
      </c>
      <c r="T20" s="14">
        <v>312.125</v>
      </c>
      <c r="U20" s="14">
        <v>310.5</v>
      </c>
      <c r="V20" s="14">
        <v>311.125</v>
      </c>
      <c r="W20" s="14">
        <v>312.75</v>
      </c>
      <c r="X20" s="5">
        <f t="shared" si="0"/>
        <v>309.75625000000002</v>
      </c>
    </row>
    <row r="21" spans="1:24" x14ac:dyDescent="0.25">
      <c r="A21" s="14" t="s">
        <v>62</v>
      </c>
      <c r="B21" s="14" t="s">
        <v>39</v>
      </c>
      <c r="C21" s="14" t="s">
        <v>41</v>
      </c>
      <c r="D21" s="14">
        <v>310.875</v>
      </c>
      <c r="E21" s="14">
        <v>308</v>
      </c>
      <c r="F21" s="14">
        <v>309.625</v>
      </c>
      <c r="G21" s="14">
        <v>309.125</v>
      </c>
      <c r="H21" s="14">
        <v>309.125</v>
      </c>
      <c r="I21" s="14">
        <v>308.5</v>
      </c>
      <c r="J21" s="14">
        <v>309.25</v>
      </c>
      <c r="K21" s="14">
        <v>310.625</v>
      </c>
      <c r="L21" s="14">
        <v>311.125</v>
      </c>
      <c r="M21" s="14">
        <v>308.375</v>
      </c>
      <c r="N21" s="14">
        <v>308.25</v>
      </c>
      <c r="O21" s="14">
        <v>307.875</v>
      </c>
      <c r="P21" s="14">
        <v>307.625</v>
      </c>
      <c r="Q21" s="14">
        <v>308.625</v>
      </c>
      <c r="R21" s="14">
        <v>307.375</v>
      </c>
      <c r="S21" s="14">
        <v>308.25</v>
      </c>
      <c r="T21" s="14">
        <v>307.875</v>
      </c>
      <c r="U21" s="14">
        <v>309.25</v>
      </c>
      <c r="V21" s="14">
        <v>310.25</v>
      </c>
      <c r="W21" s="14">
        <v>306.875</v>
      </c>
      <c r="X21" s="5">
        <f t="shared" si="0"/>
        <v>308.84375</v>
      </c>
    </row>
    <row r="22" spans="1:24" x14ac:dyDescent="0.25">
      <c r="A22" s="14" t="s">
        <v>63</v>
      </c>
      <c r="B22" s="14" t="s">
        <v>39</v>
      </c>
      <c r="C22" s="14" t="s">
        <v>41</v>
      </c>
      <c r="D22" s="14">
        <v>309.375</v>
      </c>
      <c r="E22" s="14">
        <v>306.25</v>
      </c>
      <c r="F22" s="14">
        <v>306.625</v>
      </c>
      <c r="G22" s="14">
        <v>307.875</v>
      </c>
      <c r="H22" s="14">
        <v>308.5</v>
      </c>
      <c r="I22" s="14">
        <v>308.875</v>
      </c>
      <c r="J22" s="14">
        <v>308.25</v>
      </c>
      <c r="K22" s="14">
        <v>307.125</v>
      </c>
      <c r="L22" s="14">
        <v>308.75</v>
      </c>
      <c r="M22" s="14">
        <v>306.125</v>
      </c>
      <c r="N22" s="14">
        <v>307.125</v>
      </c>
      <c r="O22" s="14">
        <v>308.5</v>
      </c>
      <c r="P22" s="14">
        <v>308.875</v>
      </c>
      <c r="Q22" s="14">
        <v>308.75</v>
      </c>
      <c r="R22" s="14">
        <v>307.875</v>
      </c>
      <c r="S22" s="14">
        <v>307</v>
      </c>
      <c r="T22" s="14">
        <v>307.5</v>
      </c>
      <c r="U22" s="14">
        <v>307.625</v>
      </c>
      <c r="V22" s="14">
        <v>308</v>
      </c>
      <c r="W22" s="14">
        <v>308.375</v>
      </c>
      <c r="X22" s="5">
        <f t="shared" si="0"/>
        <v>307.86874999999998</v>
      </c>
    </row>
    <row r="23" spans="1:24" x14ac:dyDescent="0.25">
      <c r="A23" s="14" t="s">
        <v>64</v>
      </c>
      <c r="B23" s="14" t="s">
        <v>39</v>
      </c>
      <c r="C23" s="14" t="s">
        <v>41</v>
      </c>
      <c r="D23" s="14">
        <v>307</v>
      </c>
      <c r="E23" s="14">
        <v>307.125</v>
      </c>
      <c r="F23" s="14">
        <v>308</v>
      </c>
      <c r="G23" s="14">
        <v>308.125</v>
      </c>
      <c r="H23" s="14">
        <v>308.375</v>
      </c>
      <c r="I23" s="14">
        <v>306.375</v>
      </c>
      <c r="J23" s="14">
        <v>307.75</v>
      </c>
      <c r="K23" s="14">
        <v>305.25</v>
      </c>
      <c r="L23" s="14">
        <v>308</v>
      </c>
      <c r="M23" s="14">
        <v>307.625</v>
      </c>
      <c r="N23" s="14">
        <v>306.5</v>
      </c>
      <c r="O23" s="14">
        <v>308</v>
      </c>
      <c r="P23" s="14">
        <v>308.125</v>
      </c>
      <c r="Q23" s="14">
        <v>308.25</v>
      </c>
      <c r="R23" s="14">
        <v>308.25</v>
      </c>
      <c r="S23" s="14">
        <v>307.375</v>
      </c>
      <c r="T23" s="14">
        <v>305.75</v>
      </c>
      <c r="U23" s="14">
        <v>308.375</v>
      </c>
      <c r="V23" s="14">
        <v>307.625</v>
      </c>
      <c r="W23" s="14">
        <v>307.875</v>
      </c>
      <c r="X23" s="5">
        <f t="shared" si="0"/>
        <v>307.48750000000001</v>
      </c>
    </row>
    <row r="24" spans="1:24" x14ac:dyDescent="0.25">
      <c r="A24" s="14" t="s">
        <v>65</v>
      </c>
      <c r="B24" s="14" t="s">
        <v>39</v>
      </c>
      <c r="C24" s="14" t="s">
        <v>41</v>
      </c>
      <c r="D24" s="14">
        <v>307</v>
      </c>
      <c r="E24" s="14">
        <v>308.25</v>
      </c>
      <c r="F24" s="14">
        <v>306.375</v>
      </c>
      <c r="G24" s="14">
        <v>306.25</v>
      </c>
      <c r="H24" s="14">
        <v>305.5</v>
      </c>
      <c r="I24" s="14">
        <v>307.25</v>
      </c>
      <c r="J24" s="14">
        <v>307.875</v>
      </c>
      <c r="K24" s="14">
        <v>305.125</v>
      </c>
      <c r="L24" s="14">
        <v>307</v>
      </c>
      <c r="M24" s="14">
        <v>306.125</v>
      </c>
      <c r="N24" s="14">
        <v>306.75</v>
      </c>
      <c r="O24" s="14">
        <v>310</v>
      </c>
      <c r="P24" s="14">
        <v>308.875</v>
      </c>
      <c r="Q24" s="14">
        <v>307.75</v>
      </c>
      <c r="R24" s="14">
        <v>307.375</v>
      </c>
      <c r="S24" s="14">
        <v>305.875</v>
      </c>
      <c r="T24" s="14">
        <v>304.25</v>
      </c>
      <c r="U24" s="14">
        <v>307.125</v>
      </c>
      <c r="V24" s="14">
        <v>307.5</v>
      </c>
      <c r="W24" s="14">
        <v>307.375</v>
      </c>
      <c r="X24" s="5">
        <f t="shared" si="0"/>
        <v>306.98124999999999</v>
      </c>
    </row>
    <row r="25" spans="1:24" x14ac:dyDescent="0.25">
      <c r="A25" s="14" t="s">
        <v>66</v>
      </c>
      <c r="B25" s="14" t="s">
        <v>39</v>
      </c>
      <c r="C25" s="14" t="s">
        <v>41</v>
      </c>
      <c r="D25" s="14">
        <v>306.25</v>
      </c>
      <c r="E25" s="14">
        <v>306.75</v>
      </c>
      <c r="F25" s="14">
        <v>303.25</v>
      </c>
      <c r="G25" s="14">
        <v>305.75</v>
      </c>
      <c r="H25" s="14">
        <v>307.875</v>
      </c>
      <c r="I25" s="14">
        <v>306.5</v>
      </c>
      <c r="J25" s="14">
        <v>304.625</v>
      </c>
      <c r="K25" s="14">
        <v>305.5</v>
      </c>
      <c r="L25" s="14">
        <v>305</v>
      </c>
      <c r="M25" s="14">
        <v>306.5</v>
      </c>
      <c r="N25" s="14">
        <v>305.75</v>
      </c>
      <c r="O25" s="14">
        <v>306.25</v>
      </c>
      <c r="P25" s="14">
        <v>305.875</v>
      </c>
      <c r="Q25" s="14">
        <v>305.25</v>
      </c>
      <c r="R25" s="14">
        <v>306.375</v>
      </c>
      <c r="S25" s="14">
        <v>306.875</v>
      </c>
      <c r="T25" s="14">
        <v>304.125</v>
      </c>
      <c r="U25" s="14">
        <v>304.5</v>
      </c>
      <c r="V25" s="14">
        <v>307.625</v>
      </c>
      <c r="W25" s="14">
        <v>304.75</v>
      </c>
      <c r="X25" s="5">
        <f t="shared" si="0"/>
        <v>305.76875000000001</v>
      </c>
    </row>
    <row r="26" spans="1:24" x14ac:dyDescent="0.25">
      <c r="A26" s="14" t="s">
        <v>67</v>
      </c>
      <c r="B26" s="14" t="s">
        <v>39</v>
      </c>
      <c r="C26" s="14" t="s">
        <v>41</v>
      </c>
      <c r="D26" s="14">
        <v>304.5</v>
      </c>
      <c r="E26" s="14">
        <v>306.375</v>
      </c>
      <c r="F26" s="14">
        <v>305.25</v>
      </c>
      <c r="G26" s="14">
        <v>306.5</v>
      </c>
      <c r="H26" s="14">
        <v>307.125</v>
      </c>
      <c r="I26" s="14">
        <v>304.25</v>
      </c>
      <c r="J26" s="14">
        <v>306.625</v>
      </c>
      <c r="K26" s="14">
        <v>305.875</v>
      </c>
      <c r="L26" s="14">
        <v>304.75</v>
      </c>
      <c r="M26" s="14">
        <v>303.875</v>
      </c>
      <c r="N26" s="14">
        <v>307.375</v>
      </c>
      <c r="O26" s="14">
        <v>305.75</v>
      </c>
      <c r="P26" s="14">
        <v>306.125</v>
      </c>
      <c r="Q26" s="14">
        <v>304</v>
      </c>
      <c r="R26" s="14">
        <v>303.375</v>
      </c>
      <c r="S26" s="14">
        <v>303.75</v>
      </c>
      <c r="T26" s="14">
        <v>301.875</v>
      </c>
      <c r="U26" s="14">
        <v>306.625</v>
      </c>
      <c r="V26" s="14">
        <v>306.375</v>
      </c>
      <c r="W26" s="14">
        <v>305.25</v>
      </c>
      <c r="X26" s="5">
        <f t="shared" si="0"/>
        <v>305.28125</v>
      </c>
    </row>
    <row r="27" spans="1:24" x14ac:dyDescent="0.25">
      <c r="A27" s="14" t="s">
        <v>68</v>
      </c>
      <c r="B27" s="14" t="s">
        <v>39</v>
      </c>
      <c r="C27" s="14" t="s">
        <v>41</v>
      </c>
      <c r="D27" s="14">
        <v>305.625</v>
      </c>
      <c r="E27" s="14">
        <v>305.75</v>
      </c>
      <c r="F27" s="14">
        <v>305.875</v>
      </c>
      <c r="G27" s="14">
        <v>305.75</v>
      </c>
      <c r="H27" s="14">
        <v>305.375</v>
      </c>
      <c r="I27" s="14">
        <v>307.375</v>
      </c>
      <c r="J27" s="14">
        <v>306</v>
      </c>
      <c r="K27" s="14">
        <v>304.75</v>
      </c>
      <c r="L27" s="14">
        <v>305.875</v>
      </c>
      <c r="M27" s="14">
        <v>305.75</v>
      </c>
      <c r="N27" s="14">
        <v>304.125</v>
      </c>
      <c r="O27" s="14">
        <v>307.5</v>
      </c>
      <c r="P27" s="14">
        <v>304.375</v>
      </c>
      <c r="Q27" s="14">
        <v>303.375</v>
      </c>
      <c r="R27" s="14">
        <v>303.75</v>
      </c>
      <c r="S27" s="14">
        <v>304.875</v>
      </c>
      <c r="T27" s="14">
        <v>303.25</v>
      </c>
      <c r="U27" s="14">
        <v>305.25</v>
      </c>
      <c r="V27" s="14">
        <v>304.5</v>
      </c>
      <c r="W27" s="14">
        <v>304.75</v>
      </c>
      <c r="X27" s="5">
        <f t="shared" si="0"/>
        <v>305.19375000000002</v>
      </c>
    </row>
    <row r="28" spans="1:24" x14ac:dyDescent="0.25">
      <c r="A28" s="14" t="s">
        <v>69</v>
      </c>
      <c r="B28" s="14" t="s">
        <v>39</v>
      </c>
      <c r="C28" s="14" t="s">
        <v>41</v>
      </c>
      <c r="D28" s="14">
        <v>304.625</v>
      </c>
      <c r="E28" s="14">
        <v>304</v>
      </c>
      <c r="F28" s="14">
        <v>304.375</v>
      </c>
      <c r="G28" s="14">
        <v>305</v>
      </c>
      <c r="H28" s="14">
        <v>304.875</v>
      </c>
      <c r="I28" s="14">
        <v>304.625</v>
      </c>
      <c r="J28" s="14">
        <v>302.875</v>
      </c>
      <c r="K28" s="14">
        <v>304.25</v>
      </c>
      <c r="L28" s="14">
        <v>304.875</v>
      </c>
      <c r="M28" s="14">
        <v>304.75</v>
      </c>
      <c r="N28" s="14">
        <v>303.625</v>
      </c>
      <c r="O28" s="14">
        <v>304.5</v>
      </c>
      <c r="P28" s="14">
        <v>305.25</v>
      </c>
      <c r="Q28" s="14">
        <v>306.625</v>
      </c>
      <c r="R28" s="14">
        <v>307.25</v>
      </c>
      <c r="S28" s="14">
        <v>304.75</v>
      </c>
      <c r="T28" s="14">
        <v>303.875</v>
      </c>
      <c r="U28" s="14">
        <v>307.5</v>
      </c>
      <c r="V28" s="14">
        <v>305.25</v>
      </c>
      <c r="W28" s="14">
        <v>304.625</v>
      </c>
      <c r="X28" s="5">
        <f t="shared" si="0"/>
        <v>304.875</v>
      </c>
    </row>
    <row r="29" spans="1:24" x14ac:dyDescent="0.25">
      <c r="A29" s="14" t="s">
        <v>70</v>
      </c>
      <c r="B29" s="14" t="s">
        <v>39</v>
      </c>
      <c r="C29" s="14" t="s">
        <v>41</v>
      </c>
      <c r="D29" s="14">
        <v>303.875</v>
      </c>
      <c r="E29" s="14">
        <v>303.125</v>
      </c>
      <c r="F29" s="14">
        <v>305.375</v>
      </c>
      <c r="G29" s="14">
        <v>303.5</v>
      </c>
      <c r="H29" s="14">
        <v>304.75</v>
      </c>
      <c r="I29" s="14">
        <v>304.625</v>
      </c>
      <c r="J29" s="14">
        <v>305.125</v>
      </c>
      <c r="K29" s="14">
        <v>304.875</v>
      </c>
      <c r="L29" s="14">
        <v>304.625</v>
      </c>
      <c r="M29" s="14">
        <v>303.875</v>
      </c>
      <c r="N29" s="14">
        <v>302.125</v>
      </c>
      <c r="O29" s="14">
        <v>306</v>
      </c>
      <c r="P29" s="14">
        <v>303.5</v>
      </c>
      <c r="Q29" s="14">
        <v>305</v>
      </c>
      <c r="R29" s="14">
        <v>304.375</v>
      </c>
      <c r="S29" s="14">
        <v>303.875</v>
      </c>
      <c r="T29" s="14">
        <v>302.75</v>
      </c>
      <c r="U29" s="14">
        <v>304.625</v>
      </c>
      <c r="V29" s="14">
        <v>304.5</v>
      </c>
      <c r="W29" s="14">
        <v>305.125</v>
      </c>
      <c r="X29" s="5">
        <f t="shared" si="0"/>
        <v>304.28125</v>
      </c>
    </row>
    <row r="30" spans="1:24" x14ac:dyDescent="0.25">
      <c r="A30" s="14" t="s">
        <v>71</v>
      </c>
      <c r="B30" s="14" t="s">
        <v>39</v>
      </c>
      <c r="C30" s="14" t="s">
        <v>41</v>
      </c>
      <c r="D30" s="14">
        <v>302.75</v>
      </c>
      <c r="E30" s="14">
        <v>304</v>
      </c>
      <c r="F30" s="14">
        <v>304.375</v>
      </c>
      <c r="G30" s="14">
        <v>305.375</v>
      </c>
      <c r="H30" s="14">
        <v>302.875</v>
      </c>
      <c r="I30" s="14">
        <v>305.5</v>
      </c>
      <c r="J30" s="14">
        <v>301.125</v>
      </c>
      <c r="K30" s="14">
        <v>304.75</v>
      </c>
      <c r="L30" s="14">
        <v>304.5</v>
      </c>
      <c r="M30" s="14">
        <v>305.5</v>
      </c>
      <c r="N30" s="14">
        <v>307.375</v>
      </c>
      <c r="O30" s="14">
        <v>304.875</v>
      </c>
      <c r="P30" s="14">
        <v>303.125</v>
      </c>
      <c r="Q30" s="14">
        <v>304.875</v>
      </c>
      <c r="R30" s="14">
        <v>305.125</v>
      </c>
      <c r="S30" s="14">
        <v>304.125</v>
      </c>
      <c r="T30" s="14">
        <v>305.125</v>
      </c>
      <c r="U30" s="14">
        <v>303.875</v>
      </c>
      <c r="V30" s="14">
        <v>306.75</v>
      </c>
      <c r="W30" s="14">
        <v>305</v>
      </c>
      <c r="X30" s="5">
        <f t="shared" si="0"/>
        <v>304.55</v>
      </c>
    </row>
    <row r="31" spans="1:24" x14ac:dyDescent="0.25">
      <c r="A31" s="14" t="s">
        <v>72</v>
      </c>
      <c r="B31" s="14" t="s">
        <v>39</v>
      </c>
      <c r="C31" s="14" t="s">
        <v>41</v>
      </c>
      <c r="D31" s="14">
        <v>304</v>
      </c>
      <c r="E31" s="14">
        <v>305.375</v>
      </c>
      <c r="F31" s="14">
        <v>304.375</v>
      </c>
      <c r="G31" s="14">
        <v>304.75</v>
      </c>
      <c r="H31" s="14">
        <v>305.875</v>
      </c>
      <c r="I31" s="14">
        <v>303.75</v>
      </c>
      <c r="J31" s="14">
        <v>305.75</v>
      </c>
      <c r="K31" s="14">
        <v>304.125</v>
      </c>
      <c r="L31" s="14">
        <v>303.75</v>
      </c>
      <c r="M31" s="14">
        <v>302.625</v>
      </c>
      <c r="N31" s="14">
        <v>303.125</v>
      </c>
      <c r="O31" s="14">
        <v>305.25</v>
      </c>
      <c r="P31" s="14">
        <v>304.625</v>
      </c>
      <c r="Q31" s="14">
        <v>303.75</v>
      </c>
      <c r="R31" s="14">
        <v>304.25</v>
      </c>
      <c r="S31" s="14">
        <v>303.875</v>
      </c>
      <c r="T31" s="14">
        <v>304.25</v>
      </c>
      <c r="U31" s="14">
        <v>304.125</v>
      </c>
      <c r="V31" s="14">
        <v>303.125</v>
      </c>
      <c r="W31" s="14">
        <v>303.25</v>
      </c>
      <c r="X31" s="5">
        <f t="shared" si="0"/>
        <v>304.2</v>
      </c>
    </row>
    <row r="32" spans="1:24" x14ac:dyDescent="0.25">
      <c r="A32" s="14" t="s">
        <v>73</v>
      </c>
      <c r="B32" s="14" t="s">
        <v>39</v>
      </c>
      <c r="C32" s="14" t="s">
        <v>41</v>
      </c>
      <c r="D32" s="14">
        <v>304.375</v>
      </c>
      <c r="E32" s="14">
        <v>303.75</v>
      </c>
      <c r="F32" s="14">
        <v>305.625</v>
      </c>
      <c r="G32" s="14">
        <v>304.75</v>
      </c>
      <c r="H32" s="14">
        <v>305.75</v>
      </c>
      <c r="I32" s="14">
        <v>303.375</v>
      </c>
      <c r="J32" s="14">
        <v>302.625</v>
      </c>
      <c r="K32" s="14">
        <v>304.125</v>
      </c>
      <c r="L32" s="14">
        <v>305.125</v>
      </c>
      <c r="M32" s="14">
        <v>304.375</v>
      </c>
      <c r="N32" s="14">
        <v>304.75</v>
      </c>
      <c r="O32" s="14">
        <v>305</v>
      </c>
      <c r="P32" s="14">
        <v>303.25</v>
      </c>
      <c r="Q32" s="14">
        <v>303.25</v>
      </c>
      <c r="R32" s="14">
        <v>303.375</v>
      </c>
      <c r="S32" s="14">
        <v>305.25</v>
      </c>
      <c r="T32" s="14">
        <v>304.75</v>
      </c>
      <c r="U32" s="14">
        <v>305.25</v>
      </c>
      <c r="V32" s="14">
        <v>304</v>
      </c>
      <c r="W32" s="14">
        <v>303</v>
      </c>
      <c r="X32" s="5">
        <f t="shared" si="0"/>
        <v>304.28750000000002</v>
      </c>
    </row>
    <row r="33" spans="1:24" x14ac:dyDescent="0.25">
      <c r="A33" s="14" t="s">
        <v>74</v>
      </c>
      <c r="B33" s="14" t="s">
        <v>39</v>
      </c>
      <c r="C33" s="14" t="s">
        <v>41</v>
      </c>
      <c r="D33" s="14">
        <v>302.875</v>
      </c>
      <c r="E33" s="14">
        <v>304.125</v>
      </c>
      <c r="F33" s="14">
        <v>303.5</v>
      </c>
      <c r="G33" s="14">
        <v>301.75</v>
      </c>
      <c r="H33" s="14">
        <v>300.25</v>
      </c>
      <c r="I33" s="14">
        <v>302.875</v>
      </c>
      <c r="J33" s="14">
        <v>303.375</v>
      </c>
      <c r="K33" s="14">
        <v>303.125</v>
      </c>
      <c r="L33" s="14">
        <v>303.5</v>
      </c>
      <c r="M33" s="14">
        <v>304.875</v>
      </c>
      <c r="N33" s="14">
        <v>304.875</v>
      </c>
      <c r="O33" s="14">
        <v>304.25</v>
      </c>
      <c r="P33" s="14">
        <v>303.875</v>
      </c>
      <c r="Q33" s="14">
        <v>306.125</v>
      </c>
      <c r="R33" s="14">
        <v>304</v>
      </c>
      <c r="S33" s="14">
        <v>303</v>
      </c>
      <c r="T33" s="14">
        <v>303</v>
      </c>
      <c r="U33" s="14">
        <v>302.875</v>
      </c>
      <c r="V33" s="14">
        <v>302.625</v>
      </c>
      <c r="W33" s="14">
        <v>302.625</v>
      </c>
      <c r="X33" s="5">
        <f t="shared" si="0"/>
        <v>303.375</v>
      </c>
    </row>
    <row r="34" spans="1:24" x14ac:dyDescent="0.25">
      <c r="A34" s="14" t="s">
        <v>75</v>
      </c>
      <c r="B34" s="14" t="s">
        <v>39</v>
      </c>
      <c r="C34" s="14" t="s">
        <v>41</v>
      </c>
      <c r="D34" s="14">
        <v>303</v>
      </c>
      <c r="E34" s="14">
        <v>304</v>
      </c>
      <c r="F34" s="14">
        <v>304.25</v>
      </c>
      <c r="G34" s="14">
        <v>304.375</v>
      </c>
      <c r="H34" s="14">
        <v>303.5</v>
      </c>
      <c r="I34" s="14">
        <v>304.75</v>
      </c>
      <c r="J34" s="14">
        <v>302.375</v>
      </c>
      <c r="K34" s="14">
        <v>302.5</v>
      </c>
      <c r="L34" s="14">
        <v>302.875</v>
      </c>
      <c r="M34" s="14">
        <v>303.125</v>
      </c>
      <c r="N34" s="14">
        <v>303.375</v>
      </c>
      <c r="O34" s="14">
        <v>305.125</v>
      </c>
      <c r="P34" s="14">
        <v>301.625</v>
      </c>
      <c r="Q34" s="14">
        <v>304</v>
      </c>
      <c r="R34" s="14">
        <v>303.125</v>
      </c>
      <c r="S34" s="14">
        <v>303.25</v>
      </c>
      <c r="T34" s="14">
        <v>301.375</v>
      </c>
      <c r="U34" s="14">
        <v>305.75</v>
      </c>
      <c r="V34" s="14">
        <v>303.75</v>
      </c>
      <c r="W34" s="14">
        <v>302.875</v>
      </c>
      <c r="X34" s="5">
        <f t="shared" si="0"/>
        <v>303.45</v>
      </c>
    </row>
    <row r="35" spans="1:24" x14ac:dyDescent="0.25">
      <c r="A35" s="14" t="s">
        <v>76</v>
      </c>
      <c r="B35" s="14" t="s">
        <v>39</v>
      </c>
      <c r="C35" s="14" t="s">
        <v>41</v>
      </c>
      <c r="D35" s="14">
        <v>304.625</v>
      </c>
      <c r="E35" s="14">
        <v>303.75</v>
      </c>
      <c r="F35" s="14">
        <v>302.875</v>
      </c>
      <c r="G35" s="14">
        <v>302.875</v>
      </c>
      <c r="H35" s="14">
        <v>304.375</v>
      </c>
      <c r="I35" s="14">
        <v>302</v>
      </c>
      <c r="J35" s="14">
        <v>303.625</v>
      </c>
      <c r="K35" s="14">
        <v>303.5</v>
      </c>
      <c r="L35" s="14">
        <v>305</v>
      </c>
      <c r="M35" s="14">
        <v>302.375</v>
      </c>
      <c r="N35" s="14">
        <v>302</v>
      </c>
      <c r="O35" s="14">
        <v>304.875</v>
      </c>
      <c r="P35" s="14">
        <v>304.625</v>
      </c>
      <c r="Q35" s="14">
        <v>303.375</v>
      </c>
      <c r="R35" s="14">
        <v>304.625</v>
      </c>
      <c r="S35" s="14">
        <v>305</v>
      </c>
      <c r="T35" s="14">
        <v>303.25</v>
      </c>
      <c r="U35" s="14">
        <v>302.625</v>
      </c>
      <c r="V35" s="14">
        <v>302.875</v>
      </c>
      <c r="W35" s="14">
        <v>302</v>
      </c>
      <c r="X35" s="5">
        <f t="shared" si="0"/>
        <v>303.51249999999999</v>
      </c>
    </row>
    <row r="36" spans="1:24" x14ac:dyDescent="0.25">
      <c r="X36" s="5">
        <f>AVERAGE(X17:X35)</f>
        <v>306.34144736842109</v>
      </c>
    </row>
    <row r="41" spans="1:24" x14ac:dyDescent="0.25">
      <c r="A41" s="22" t="s">
        <v>38</v>
      </c>
      <c r="B41" s="22" t="s">
        <v>39</v>
      </c>
      <c r="C41" s="22" t="s">
        <v>40</v>
      </c>
      <c r="D41" s="22">
        <v>412.375</v>
      </c>
      <c r="E41" s="22">
        <v>416.375</v>
      </c>
      <c r="F41" s="22">
        <v>413.375</v>
      </c>
      <c r="G41" s="22">
        <v>406.125</v>
      </c>
      <c r="H41" s="22">
        <v>415.375</v>
      </c>
      <c r="I41" s="22">
        <v>411.75</v>
      </c>
      <c r="J41" s="22">
        <v>414.625</v>
      </c>
      <c r="K41" s="22">
        <v>406.625</v>
      </c>
      <c r="L41" s="22">
        <v>414.375</v>
      </c>
      <c r="M41" s="22">
        <v>415.125</v>
      </c>
      <c r="N41" s="22">
        <v>412.75</v>
      </c>
      <c r="O41" s="22">
        <v>410.625</v>
      </c>
      <c r="P41" s="22">
        <v>415.625</v>
      </c>
      <c r="Q41" s="22">
        <v>416.875</v>
      </c>
      <c r="R41" s="22">
        <v>410.5</v>
      </c>
      <c r="S41" s="22">
        <v>415.375</v>
      </c>
      <c r="T41" s="22">
        <v>412.125</v>
      </c>
      <c r="U41" s="22">
        <v>412.125</v>
      </c>
      <c r="V41" s="22">
        <v>414.25</v>
      </c>
      <c r="W41" s="22">
        <v>412.75</v>
      </c>
      <c r="X41" s="21">
        <f t="shared" ref="X41:X75" si="1">AVERAGE(D41:W41)</f>
        <v>412.95625000000001</v>
      </c>
    </row>
    <row r="42" spans="1:24" x14ac:dyDescent="0.25">
      <c r="A42" s="22" t="s">
        <v>43</v>
      </c>
      <c r="B42" s="22" t="s">
        <v>39</v>
      </c>
      <c r="C42" s="22" t="s">
        <v>40</v>
      </c>
      <c r="D42" s="22">
        <v>385</v>
      </c>
      <c r="E42" s="22">
        <v>387.625</v>
      </c>
      <c r="F42" s="22">
        <v>385.25</v>
      </c>
      <c r="G42" s="22">
        <v>384.75</v>
      </c>
      <c r="H42" s="22">
        <v>384.875</v>
      </c>
      <c r="I42" s="22">
        <v>381</v>
      </c>
      <c r="J42" s="22">
        <v>384.375</v>
      </c>
      <c r="K42" s="22">
        <v>381.75</v>
      </c>
      <c r="L42" s="22">
        <v>382.125</v>
      </c>
      <c r="M42" s="22">
        <v>383.625</v>
      </c>
      <c r="N42" s="22">
        <v>383.5</v>
      </c>
      <c r="O42" s="22">
        <v>385.5</v>
      </c>
      <c r="P42" s="22">
        <v>386.5</v>
      </c>
      <c r="Q42" s="22">
        <v>386.25</v>
      </c>
      <c r="R42" s="22">
        <v>387.25</v>
      </c>
      <c r="S42" s="22">
        <v>388.375</v>
      </c>
      <c r="T42" s="22">
        <v>386.75</v>
      </c>
      <c r="U42" s="22">
        <v>385.875</v>
      </c>
      <c r="V42" s="22">
        <v>384</v>
      </c>
      <c r="W42" s="22">
        <v>386.625</v>
      </c>
      <c r="X42" s="21">
        <f t="shared" si="1"/>
        <v>385.05</v>
      </c>
    </row>
    <row r="43" spans="1:24" x14ac:dyDescent="0.25">
      <c r="A43" s="22" t="s">
        <v>44</v>
      </c>
      <c r="B43" s="22" t="s">
        <v>39</v>
      </c>
      <c r="C43" s="22" t="s">
        <v>40</v>
      </c>
      <c r="D43" s="22">
        <v>371.125</v>
      </c>
      <c r="E43" s="22">
        <v>372.625</v>
      </c>
      <c r="F43" s="22">
        <v>373.625</v>
      </c>
      <c r="G43" s="22">
        <v>374.625</v>
      </c>
      <c r="H43" s="22">
        <v>372.875</v>
      </c>
      <c r="I43" s="22">
        <v>370.875</v>
      </c>
      <c r="J43" s="22">
        <v>372.25</v>
      </c>
      <c r="K43" s="22">
        <v>371.875</v>
      </c>
      <c r="L43" s="22">
        <v>372.625</v>
      </c>
      <c r="M43" s="22">
        <v>373.375</v>
      </c>
      <c r="N43" s="22">
        <v>371.25</v>
      </c>
      <c r="O43" s="22">
        <v>370.875</v>
      </c>
      <c r="P43" s="22">
        <v>373.875</v>
      </c>
      <c r="Q43" s="22">
        <v>372</v>
      </c>
      <c r="R43" s="22">
        <v>371.25</v>
      </c>
      <c r="S43" s="22">
        <v>371.375</v>
      </c>
      <c r="T43" s="22">
        <v>373.125</v>
      </c>
      <c r="U43" s="22">
        <v>371.25</v>
      </c>
      <c r="V43" s="22">
        <v>373.25</v>
      </c>
      <c r="W43" s="22">
        <v>371.875</v>
      </c>
      <c r="X43" s="21">
        <f t="shared" si="1"/>
        <v>372.3</v>
      </c>
    </row>
    <row r="44" spans="1:24" x14ac:dyDescent="0.25">
      <c r="A44" s="22" t="s">
        <v>45</v>
      </c>
      <c r="B44" s="22" t="s">
        <v>39</v>
      </c>
      <c r="C44" s="22" t="s">
        <v>40</v>
      </c>
      <c r="D44" s="22">
        <v>363.125</v>
      </c>
      <c r="E44" s="22">
        <v>362.625</v>
      </c>
      <c r="F44" s="22">
        <v>363.875</v>
      </c>
      <c r="G44" s="22">
        <v>361.875</v>
      </c>
      <c r="H44" s="22">
        <v>362.5</v>
      </c>
      <c r="I44" s="22">
        <v>365.125</v>
      </c>
      <c r="J44" s="22">
        <v>365.125</v>
      </c>
      <c r="K44" s="22">
        <v>364.625</v>
      </c>
      <c r="L44" s="22">
        <v>364.125</v>
      </c>
      <c r="M44" s="22">
        <v>364.875</v>
      </c>
      <c r="N44" s="22">
        <v>366.25</v>
      </c>
      <c r="O44" s="22">
        <v>365.125</v>
      </c>
      <c r="P44" s="22">
        <v>365.5</v>
      </c>
      <c r="Q44" s="22">
        <v>363.875</v>
      </c>
      <c r="R44" s="22">
        <v>365.25</v>
      </c>
      <c r="S44" s="22">
        <v>363.375</v>
      </c>
      <c r="T44" s="22">
        <v>361.5</v>
      </c>
      <c r="U44" s="22">
        <v>361.375</v>
      </c>
      <c r="V44" s="22">
        <v>364.75</v>
      </c>
      <c r="W44" s="22">
        <v>364.25</v>
      </c>
      <c r="X44" s="21">
        <f t="shared" si="1"/>
        <v>363.95625000000001</v>
      </c>
    </row>
    <row r="45" spans="1:24" x14ac:dyDescent="0.25">
      <c r="A45" s="22" t="s">
        <v>46</v>
      </c>
      <c r="B45" s="22" t="s">
        <v>39</v>
      </c>
      <c r="C45" s="22" t="s">
        <v>40</v>
      </c>
      <c r="D45" s="22">
        <v>359</v>
      </c>
      <c r="E45" s="22">
        <v>358.5</v>
      </c>
      <c r="F45" s="22">
        <v>358.25</v>
      </c>
      <c r="G45" s="22">
        <v>358.125</v>
      </c>
      <c r="H45" s="22">
        <v>359.5</v>
      </c>
      <c r="I45" s="22">
        <v>360.5</v>
      </c>
      <c r="J45" s="22">
        <v>358</v>
      </c>
      <c r="K45" s="22">
        <v>359.5</v>
      </c>
      <c r="L45" s="22">
        <v>357.625</v>
      </c>
      <c r="M45" s="22">
        <v>357.5</v>
      </c>
      <c r="N45" s="22">
        <v>358.5</v>
      </c>
      <c r="O45" s="22">
        <v>359.125</v>
      </c>
      <c r="P45" s="22">
        <v>356.875</v>
      </c>
      <c r="Q45" s="22">
        <v>357.375</v>
      </c>
      <c r="R45" s="22">
        <v>357.375</v>
      </c>
      <c r="S45" s="22">
        <v>357.75</v>
      </c>
      <c r="T45" s="22">
        <v>355.125</v>
      </c>
      <c r="U45" s="22">
        <v>359.25</v>
      </c>
      <c r="V45" s="22">
        <v>357</v>
      </c>
      <c r="W45" s="22">
        <v>358.25</v>
      </c>
      <c r="X45" s="21">
        <f t="shared" si="1"/>
        <v>358.15625</v>
      </c>
    </row>
    <row r="46" spans="1:24" x14ac:dyDescent="0.25">
      <c r="A46" s="22" t="s">
        <v>47</v>
      </c>
      <c r="B46" s="22" t="s">
        <v>39</v>
      </c>
      <c r="C46" s="22" t="s">
        <v>40</v>
      </c>
      <c r="D46" s="22">
        <v>355.375</v>
      </c>
      <c r="E46" s="22">
        <v>356.125</v>
      </c>
      <c r="F46" s="22">
        <v>355.875</v>
      </c>
      <c r="G46" s="22">
        <v>352.75</v>
      </c>
      <c r="H46" s="22">
        <v>353.625</v>
      </c>
      <c r="I46" s="22">
        <v>352.625</v>
      </c>
      <c r="J46" s="22">
        <v>355.625</v>
      </c>
      <c r="K46" s="22">
        <v>354.5</v>
      </c>
      <c r="L46" s="22">
        <v>354.75</v>
      </c>
      <c r="M46" s="22">
        <v>354.75</v>
      </c>
      <c r="N46" s="22">
        <v>353.625</v>
      </c>
      <c r="O46" s="22">
        <v>353.875</v>
      </c>
      <c r="P46" s="22">
        <v>356.625</v>
      </c>
      <c r="Q46" s="22">
        <v>353.125</v>
      </c>
      <c r="R46" s="22">
        <v>355.125</v>
      </c>
      <c r="S46" s="22">
        <v>355.125</v>
      </c>
      <c r="T46" s="22">
        <v>353.5</v>
      </c>
      <c r="U46" s="22">
        <v>352.75</v>
      </c>
      <c r="V46" s="22">
        <v>354.25</v>
      </c>
      <c r="W46" s="22">
        <v>351.625</v>
      </c>
      <c r="X46" s="21">
        <f t="shared" si="1"/>
        <v>354.28125</v>
      </c>
    </row>
    <row r="47" spans="1:24" x14ac:dyDescent="0.25">
      <c r="A47" s="22" t="s">
        <v>48</v>
      </c>
      <c r="B47" s="22" t="s">
        <v>39</v>
      </c>
      <c r="C47" s="22" t="s">
        <v>40</v>
      </c>
      <c r="D47" s="22">
        <v>354.375</v>
      </c>
      <c r="E47" s="22">
        <v>351.125</v>
      </c>
      <c r="F47" s="22">
        <v>352.5</v>
      </c>
      <c r="G47" s="22">
        <v>354.25</v>
      </c>
      <c r="H47" s="22">
        <v>353.625</v>
      </c>
      <c r="I47" s="22">
        <v>350.625</v>
      </c>
      <c r="J47" s="22">
        <v>352</v>
      </c>
      <c r="K47" s="22">
        <v>352.375</v>
      </c>
      <c r="L47" s="22">
        <v>353.5</v>
      </c>
      <c r="M47" s="22">
        <v>355.25</v>
      </c>
      <c r="N47" s="22">
        <v>351.875</v>
      </c>
      <c r="O47" s="22">
        <v>355.375</v>
      </c>
      <c r="P47" s="22">
        <v>352.125</v>
      </c>
      <c r="Q47" s="22">
        <v>352.25</v>
      </c>
      <c r="R47" s="22">
        <v>353.125</v>
      </c>
      <c r="S47" s="22">
        <v>354.5</v>
      </c>
      <c r="T47" s="22">
        <v>353.375</v>
      </c>
      <c r="U47" s="22">
        <v>353</v>
      </c>
      <c r="V47" s="22">
        <v>351.75</v>
      </c>
      <c r="W47" s="22">
        <v>350.375</v>
      </c>
      <c r="X47" s="21">
        <f t="shared" si="1"/>
        <v>352.86874999999998</v>
      </c>
    </row>
    <row r="48" spans="1:24" x14ac:dyDescent="0.25">
      <c r="A48" s="22" t="s">
        <v>49</v>
      </c>
      <c r="B48" s="22" t="s">
        <v>39</v>
      </c>
      <c r="C48" s="22" t="s">
        <v>40</v>
      </c>
      <c r="D48" s="22">
        <v>350.5</v>
      </c>
      <c r="E48" s="22">
        <v>350.875</v>
      </c>
      <c r="F48" s="22">
        <v>347</v>
      </c>
      <c r="G48" s="22">
        <v>349.875</v>
      </c>
      <c r="H48" s="22">
        <v>351.375</v>
      </c>
      <c r="I48" s="22">
        <v>348.75</v>
      </c>
      <c r="J48" s="22">
        <v>349.875</v>
      </c>
      <c r="K48" s="22">
        <v>351</v>
      </c>
      <c r="L48" s="22">
        <v>350.5</v>
      </c>
      <c r="M48" s="22">
        <v>351</v>
      </c>
      <c r="N48" s="22">
        <v>350.625</v>
      </c>
      <c r="O48" s="22">
        <v>352.25</v>
      </c>
      <c r="P48" s="22">
        <v>351.25</v>
      </c>
      <c r="Q48" s="22">
        <v>350.75</v>
      </c>
      <c r="R48" s="22">
        <v>348.625</v>
      </c>
      <c r="S48" s="22">
        <v>350.25</v>
      </c>
      <c r="T48" s="22">
        <v>348.875</v>
      </c>
      <c r="U48" s="22">
        <v>349.25</v>
      </c>
      <c r="V48" s="22">
        <v>346.5</v>
      </c>
      <c r="W48" s="22">
        <v>349.625</v>
      </c>
      <c r="X48" s="21">
        <f t="shared" si="1"/>
        <v>349.9375</v>
      </c>
    </row>
    <row r="49" spans="1:24" x14ac:dyDescent="0.25">
      <c r="A49" s="22" t="s">
        <v>50</v>
      </c>
      <c r="B49" s="22" t="s">
        <v>39</v>
      </c>
      <c r="C49" s="22" t="s">
        <v>40</v>
      </c>
      <c r="D49" s="22">
        <v>350</v>
      </c>
      <c r="E49" s="22">
        <v>347.375</v>
      </c>
      <c r="F49" s="22">
        <v>347.75</v>
      </c>
      <c r="G49" s="22">
        <v>346.75</v>
      </c>
      <c r="H49" s="22">
        <v>348.75</v>
      </c>
      <c r="I49" s="22">
        <v>348</v>
      </c>
      <c r="J49" s="22">
        <v>348.375</v>
      </c>
      <c r="K49" s="22">
        <v>348.125</v>
      </c>
      <c r="L49" s="22">
        <v>348.375</v>
      </c>
      <c r="M49" s="22">
        <v>348.5</v>
      </c>
      <c r="N49" s="22">
        <v>345.5</v>
      </c>
      <c r="O49" s="22">
        <v>347.75</v>
      </c>
      <c r="P49" s="22">
        <v>348.625</v>
      </c>
      <c r="Q49" s="22">
        <v>347</v>
      </c>
      <c r="R49" s="22">
        <v>347.375</v>
      </c>
      <c r="S49" s="22">
        <v>349.875</v>
      </c>
      <c r="T49" s="22">
        <v>347.375</v>
      </c>
      <c r="U49" s="22">
        <v>349.375</v>
      </c>
      <c r="V49" s="22">
        <v>346.875</v>
      </c>
      <c r="W49" s="22">
        <v>347.75</v>
      </c>
      <c r="X49" s="21">
        <f t="shared" si="1"/>
        <v>347.97500000000002</v>
      </c>
    </row>
    <row r="50" spans="1:24" x14ac:dyDescent="0.25">
      <c r="A50" s="22" t="s">
        <v>51</v>
      </c>
      <c r="B50" s="22" t="s">
        <v>39</v>
      </c>
      <c r="C50" s="22" t="s">
        <v>40</v>
      </c>
      <c r="D50" s="22">
        <v>344.25</v>
      </c>
      <c r="E50" s="22">
        <v>346.375</v>
      </c>
      <c r="F50" s="22">
        <v>343.375</v>
      </c>
      <c r="G50" s="22">
        <v>346.875</v>
      </c>
      <c r="H50" s="22">
        <v>347.375</v>
      </c>
      <c r="I50" s="22">
        <v>346.125</v>
      </c>
      <c r="J50" s="22">
        <v>349.5</v>
      </c>
      <c r="K50" s="22">
        <v>344.125</v>
      </c>
      <c r="L50" s="22">
        <v>345</v>
      </c>
      <c r="M50" s="22">
        <v>347.25</v>
      </c>
      <c r="N50" s="22">
        <v>344.25</v>
      </c>
      <c r="O50" s="22">
        <v>345.75</v>
      </c>
      <c r="P50" s="22">
        <v>344.75</v>
      </c>
      <c r="Q50" s="22">
        <v>345.5</v>
      </c>
      <c r="R50" s="22">
        <v>345.125</v>
      </c>
      <c r="S50" s="22">
        <v>347</v>
      </c>
      <c r="T50" s="22">
        <v>346.125</v>
      </c>
      <c r="U50" s="22">
        <v>344.875</v>
      </c>
      <c r="V50" s="22">
        <v>343.375</v>
      </c>
      <c r="W50" s="22">
        <v>345.125</v>
      </c>
      <c r="X50" s="21">
        <f t="shared" si="1"/>
        <v>345.60624999999999</v>
      </c>
    </row>
    <row r="51" spans="1:24" x14ac:dyDescent="0.25">
      <c r="A51" s="22" t="s">
        <v>52</v>
      </c>
      <c r="B51" s="22" t="s">
        <v>39</v>
      </c>
      <c r="C51" s="22" t="s">
        <v>40</v>
      </c>
      <c r="D51" s="22">
        <v>341.875</v>
      </c>
      <c r="E51" s="22">
        <v>344</v>
      </c>
      <c r="F51" s="22">
        <v>340.5</v>
      </c>
      <c r="G51" s="22">
        <v>345.25</v>
      </c>
      <c r="H51" s="22">
        <v>340.875</v>
      </c>
      <c r="I51" s="22">
        <v>342.875</v>
      </c>
      <c r="J51" s="22">
        <v>339.875</v>
      </c>
      <c r="K51" s="22">
        <v>339.75</v>
      </c>
      <c r="L51" s="22">
        <v>342.375</v>
      </c>
      <c r="M51" s="22">
        <v>339.625</v>
      </c>
      <c r="N51" s="22">
        <v>343.25</v>
      </c>
      <c r="O51" s="22">
        <v>342.75</v>
      </c>
      <c r="P51" s="22">
        <v>344.75</v>
      </c>
      <c r="Q51" s="22">
        <v>343.125</v>
      </c>
      <c r="R51" s="22">
        <v>344.25</v>
      </c>
      <c r="S51" s="22">
        <v>343.25</v>
      </c>
      <c r="T51" s="22">
        <v>343.625</v>
      </c>
      <c r="U51" s="22">
        <v>344.375</v>
      </c>
      <c r="V51" s="22">
        <v>341.125</v>
      </c>
      <c r="W51" s="22">
        <v>345.625</v>
      </c>
      <c r="X51" s="21">
        <f t="shared" si="1"/>
        <v>342.65625</v>
      </c>
    </row>
    <row r="52" spans="1:24" x14ac:dyDescent="0.25">
      <c r="A52" s="22" t="s">
        <v>53</v>
      </c>
      <c r="B52" s="22" t="s">
        <v>39</v>
      </c>
      <c r="C52" s="22" t="s">
        <v>40</v>
      </c>
      <c r="D52" s="22">
        <v>341.875</v>
      </c>
      <c r="E52" s="22">
        <v>340.75</v>
      </c>
      <c r="F52" s="22">
        <v>341.625</v>
      </c>
      <c r="G52" s="22">
        <v>342.375</v>
      </c>
      <c r="H52" s="22">
        <v>338.625</v>
      </c>
      <c r="I52" s="22">
        <v>340.375</v>
      </c>
      <c r="J52" s="22">
        <v>340.125</v>
      </c>
      <c r="K52" s="22">
        <v>341.875</v>
      </c>
      <c r="L52" s="22">
        <v>340</v>
      </c>
      <c r="M52" s="22">
        <v>339.5</v>
      </c>
      <c r="N52" s="22">
        <v>336.875</v>
      </c>
      <c r="O52" s="22">
        <v>336.375</v>
      </c>
      <c r="P52" s="22">
        <v>338.875</v>
      </c>
      <c r="Q52" s="22">
        <v>341.125</v>
      </c>
      <c r="R52" s="22">
        <v>340.625</v>
      </c>
      <c r="S52" s="22">
        <v>342.375</v>
      </c>
      <c r="T52" s="22">
        <v>340.5</v>
      </c>
      <c r="U52" s="22">
        <v>339.375</v>
      </c>
      <c r="V52" s="22">
        <v>340.5</v>
      </c>
      <c r="W52" s="22">
        <v>338.625</v>
      </c>
      <c r="X52" s="21">
        <f t="shared" si="1"/>
        <v>340.11874999999998</v>
      </c>
    </row>
    <row r="53" spans="1:24" x14ac:dyDescent="0.25">
      <c r="A53" s="22" t="s">
        <v>54</v>
      </c>
      <c r="B53" s="22" t="s">
        <v>39</v>
      </c>
      <c r="C53" s="22" t="s">
        <v>40</v>
      </c>
      <c r="D53" s="22">
        <v>337.875</v>
      </c>
      <c r="E53" s="22">
        <v>337.125</v>
      </c>
      <c r="F53" s="22">
        <v>338.375</v>
      </c>
      <c r="G53" s="22">
        <v>340.75</v>
      </c>
      <c r="H53" s="22">
        <v>337.125</v>
      </c>
      <c r="I53" s="22">
        <v>340</v>
      </c>
      <c r="J53" s="22">
        <v>339.125</v>
      </c>
      <c r="K53" s="22">
        <v>337.875</v>
      </c>
      <c r="L53" s="22">
        <v>339.25</v>
      </c>
      <c r="M53" s="22">
        <v>340.375</v>
      </c>
      <c r="N53" s="22">
        <v>339.75</v>
      </c>
      <c r="O53" s="22">
        <v>338.5</v>
      </c>
      <c r="P53" s="22">
        <v>340.125</v>
      </c>
      <c r="Q53" s="22">
        <v>339.5</v>
      </c>
      <c r="R53" s="22">
        <v>339.875</v>
      </c>
      <c r="S53" s="22">
        <v>341.5</v>
      </c>
      <c r="T53" s="22">
        <v>335.5</v>
      </c>
      <c r="U53" s="22">
        <v>338.25</v>
      </c>
      <c r="V53" s="22">
        <v>341</v>
      </c>
      <c r="W53" s="22">
        <v>336</v>
      </c>
      <c r="X53" s="21">
        <f t="shared" si="1"/>
        <v>338.89375000000001</v>
      </c>
    </row>
    <row r="54" spans="1:24" x14ac:dyDescent="0.25">
      <c r="A54" s="22" t="s">
        <v>55</v>
      </c>
      <c r="B54" s="22" t="s">
        <v>39</v>
      </c>
      <c r="C54" s="22" t="s">
        <v>40</v>
      </c>
      <c r="D54" s="22">
        <v>336.375</v>
      </c>
      <c r="E54" s="22">
        <v>336.375</v>
      </c>
      <c r="F54" s="22">
        <v>336.375</v>
      </c>
      <c r="G54" s="22">
        <v>334.25</v>
      </c>
      <c r="H54" s="22">
        <v>333.5</v>
      </c>
      <c r="I54" s="22">
        <v>336.75</v>
      </c>
      <c r="J54" s="22">
        <v>335.625</v>
      </c>
      <c r="K54" s="22">
        <v>333.875</v>
      </c>
      <c r="L54" s="22">
        <v>333.75</v>
      </c>
      <c r="M54" s="22">
        <v>335.875</v>
      </c>
      <c r="N54" s="22">
        <v>335.25</v>
      </c>
      <c r="O54" s="22">
        <v>338.25</v>
      </c>
      <c r="P54" s="22">
        <v>335</v>
      </c>
      <c r="Q54" s="22">
        <v>337.875</v>
      </c>
      <c r="R54" s="22">
        <v>336.875</v>
      </c>
      <c r="S54" s="22">
        <v>336.25</v>
      </c>
      <c r="T54" s="22">
        <v>334.625</v>
      </c>
      <c r="U54" s="22">
        <v>337</v>
      </c>
      <c r="V54" s="22">
        <v>339</v>
      </c>
      <c r="W54" s="22">
        <v>337.75</v>
      </c>
      <c r="X54" s="21">
        <f t="shared" si="1"/>
        <v>336.03125</v>
      </c>
    </row>
    <row r="55" spans="1:24" x14ac:dyDescent="0.25">
      <c r="A55" s="22" t="s">
        <v>56</v>
      </c>
      <c r="B55" s="22" t="s">
        <v>39</v>
      </c>
      <c r="C55" s="22" t="s">
        <v>40</v>
      </c>
      <c r="D55" s="22">
        <v>335.75</v>
      </c>
      <c r="E55" s="22">
        <v>335.125</v>
      </c>
      <c r="F55" s="22">
        <v>333.375</v>
      </c>
      <c r="G55" s="22">
        <v>333</v>
      </c>
      <c r="H55" s="22">
        <v>330.625</v>
      </c>
      <c r="I55" s="22">
        <v>334.25</v>
      </c>
      <c r="J55" s="22">
        <v>334</v>
      </c>
      <c r="K55" s="22">
        <v>334.5</v>
      </c>
      <c r="L55" s="22">
        <v>333.75</v>
      </c>
      <c r="M55" s="22">
        <v>335.25</v>
      </c>
      <c r="N55" s="22">
        <v>333.375</v>
      </c>
      <c r="O55" s="22">
        <v>334.75</v>
      </c>
      <c r="P55" s="22">
        <v>338.25</v>
      </c>
      <c r="Q55" s="22">
        <v>334.875</v>
      </c>
      <c r="R55" s="22">
        <v>334.75</v>
      </c>
      <c r="S55" s="22">
        <v>332.875</v>
      </c>
      <c r="T55" s="22">
        <v>333.75</v>
      </c>
      <c r="U55" s="22">
        <v>334.375</v>
      </c>
      <c r="V55" s="22">
        <v>336</v>
      </c>
      <c r="W55" s="22">
        <v>335.375</v>
      </c>
      <c r="X55" s="21">
        <f t="shared" si="1"/>
        <v>334.4</v>
      </c>
    </row>
    <row r="56" spans="1:24" x14ac:dyDescent="0.25">
      <c r="A56" s="22" t="s">
        <v>57</v>
      </c>
      <c r="B56" s="22" t="s">
        <v>39</v>
      </c>
      <c r="C56" s="22" t="s">
        <v>40</v>
      </c>
      <c r="D56" s="22">
        <v>335.625</v>
      </c>
      <c r="E56" s="22">
        <v>329.75</v>
      </c>
      <c r="F56" s="22">
        <v>328.625</v>
      </c>
      <c r="G56" s="22">
        <v>330.875</v>
      </c>
      <c r="H56" s="22">
        <v>329.75</v>
      </c>
      <c r="I56" s="22">
        <v>332.625</v>
      </c>
      <c r="J56" s="22">
        <v>330.875</v>
      </c>
      <c r="K56" s="22">
        <v>330.375</v>
      </c>
      <c r="L56" s="22">
        <v>331.625</v>
      </c>
      <c r="M56" s="22">
        <v>332.625</v>
      </c>
      <c r="N56" s="22">
        <v>329.5</v>
      </c>
      <c r="O56" s="22">
        <v>337.25</v>
      </c>
      <c r="P56" s="22">
        <v>329.125</v>
      </c>
      <c r="Q56" s="22">
        <v>326.625</v>
      </c>
      <c r="R56" s="22">
        <v>329.625</v>
      </c>
      <c r="S56" s="22">
        <v>332.5</v>
      </c>
      <c r="T56" s="22">
        <v>330.125</v>
      </c>
      <c r="U56" s="22">
        <v>329.875</v>
      </c>
      <c r="V56" s="22">
        <v>331.5</v>
      </c>
      <c r="W56" s="22">
        <v>331</v>
      </c>
      <c r="X56" s="21">
        <f t="shared" si="1"/>
        <v>330.99374999999998</v>
      </c>
    </row>
    <row r="57" spans="1:24" x14ac:dyDescent="0.25">
      <c r="A57" s="14" t="s">
        <v>58</v>
      </c>
      <c r="B57" s="14" t="s">
        <v>39</v>
      </c>
      <c r="C57" s="14" t="s">
        <v>40</v>
      </c>
      <c r="D57" s="14">
        <v>326</v>
      </c>
      <c r="E57" s="14">
        <v>329.5</v>
      </c>
      <c r="F57" s="14">
        <v>328.875</v>
      </c>
      <c r="G57" s="14">
        <v>325.625</v>
      </c>
      <c r="H57" s="14">
        <v>328.75</v>
      </c>
      <c r="I57" s="14">
        <v>329.25</v>
      </c>
      <c r="J57" s="14">
        <v>330.25</v>
      </c>
      <c r="K57" s="14">
        <v>330.375</v>
      </c>
      <c r="L57" s="14">
        <v>333.125</v>
      </c>
      <c r="M57" s="14">
        <v>328.625</v>
      </c>
      <c r="N57" s="14">
        <v>329.875</v>
      </c>
      <c r="O57" s="14">
        <v>330.25</v>
      </c>
      <c r="P57" s="14">
        <v>329.375</v>
      </c>
      <c r="Q57" s="14">
        <v>333.125</v>
      </c>
      <c r="R57" s="14">
        <v>327</v>
      </c>
      <c r="S57" s="14">
        <v>327.375</v>
      </c>
      <c r="T57" s="14">
        <v>325.25</v>
      </c>
      <c r="U57" s="14">
        <v>327.75</v>
      </c>
      <c r="V57" s="14">
        <v>328.25</v>
      </c>
      <c r="W57" s="14">
        <v>328.375</v>
      </c>
      <c r="X57" s="5">
        <f t="shared" si="1"/>
        <v>328.85</v>
      </c>
    </row>
    <row r="58" spans="1:24" x14ac:dyDescent="0.25">
      <c r="A58" s="14" t="s">
        <v>59</v>
      </c>
      <c r="B58" s="14" t="s">
        <v>39</v>
      </c>
      <c r="C58" s="14" t="s">
        <v>40</v>
      </c>
      <c r="D58" s="14">
        <v>327.625</v>
      </c>
      <c r="E58" s="14">
        <v>327.125</v>
      </c>
      <c r="F58" s="14">
        <v>326.875</v>
      </c>
      <c r="G58" s="14">
        <v>326</v>
      </c>
      <c r="H58" s="14">
        <v>326.25</v>
      </c>
      <c r="I58" s="14">
        <v>325.5</v>
      </c>
      <c r="J58" s="14">
        <v>326.125</v>
      </c>
      <c r="K58" s="14">
        <v>327.375</v>
      </c>
      <c r="L58" s="14">
        <v>327.625</v>
      </c>
      <c r="M58" s="14">
        <v>328.75</v>
      </c>
      <c r="N58" s="14">
        <v>326.125</v>
      </c>
      <c r="O58" s="14">
        <v>325.25</v>
      </c>
      <c r="P58" s="14">
        <v>325.875</v>
      </c>
      <c r="Q58" s="14">
        <v>324.875</v>
      </c>
      <c r="R58" s="14">
        <v>324.75</v>
      </c>
      <c r="S58" s="14">
        <v>326</v>
      </c>
      <c r="T58" s="14">
        <v>327.625</v>
      </c>
      <c r="U58" s="14">
        <v>325.375</v>
      </c>
      <c r="V58" s="14">
        <v>324.625</v>
      </c>
      <c r="W58" s="14">
        <v>326.75</v>
      </c>
      <c r="X58" s="5">
        <f t="shared" si="1"/>
        <v>326.32499999999999</v>
      </c>
    </row>
    <row r="59" spans="1:24" x14ac:dyDescent="0.25">
      <c r="A59" s="14" t="s">
        <v>60</v>
      </c>
      <c r="B59" s="14" t="s">
        <v>39</v>
      </c>
      <c r="C59" s="14" t="s">
        <v>40</v>
      </c>
      <c r="D59" s="14">
        <v>325.25</v>
      </c>
      <c r="E59" s="14">
        <v>325.625</v>
      </c>
      <c r="F59" s="14">
        <v>328.875</v>
      </c>
      <c r="G59" s="14">
        <v>325.125</v>
      </c>
      <c r="H59" s="14">
        <v>326.875</v>
      </c>
      <c r="I59" s="14">
        <v>325.5</v>
      </c>
      <c r="J59" s="14">
        <v>325.875</v>
      </c>
      <c r="K59" s="14">
        <v>325.125</v>
      </c>
      <c r="L59" s="14">
        <v>327.75</v>
      </c>
      <c r="M59" s="14">
        <v>325.5</v>
      </c>
      <c r="N59" s="14">
        <v>328.875</v>
      </c>
      <c r="O59" s="14">
        <v>330.875</v>
      </c>
      <c r="P59" s="14">
        <v>327.875</v>
      </c>
      <c r="Q59" s="14">
        <v>325.75</v>
      </c>
      <c r="R59" s="14">
        <v>326.125</v>
      </c>
      <c r="S59" s="14">
        <v>328.5</v>
      </c>
      <c r="T59" s="14">
        <v>327.625</v>
      </c>
      <c r="U59" s="14">
        <v>326.125</v>
      </c>
      <c r="V59" s="14">
        <v>324.75</v>
      </c>
      <c r="W59" s="14">
        <v>324.25</v>
      </c>
      <c r="X59" s="5">
        <f t="shared" si="1"/>
        <v>326.61250000000001</v>
      </c>
    </row>
    <row r="60" spans="1:24" x14ac:dyDescent="0.25">
      <c r="A60" s="14" t="s">
        <v>61</v>
      </c>
      <c r="B60" s="14" t="s">
        <v>39</v>
      </c>
      <c r="C60" s="14" t="s">
        <v>40</v>
      </c>
      <c r="D60" s="14">
        <v>326.25</v>
      </c>
      <c r="E60" s="14">
        <v>325.25</v>
      </c>
      <c r="F60" s="14">
        <v>324.625</v>
      </c>
      <c r="G60" s="14">
        <v>326.375</v>
      </c>
      <c r="H60" s="14">
        <v>322.125</v>
      </c>
      <c r="I60" s="14">
        <v>328.5</v>
      </c>
      <c r="J60" s="14">
        <v>326.875</v>
      </c>
      <c r="K60" s="14">
        <v>321.375</v>
      </c>
      <c r="L60" s="14">
        <v>325.125</v>
      </c>
      <c r="M60" s="14">
        <v>327.75</v>
      </c>
      <c r="N60" s="14">
        <v>326.625</v>
      </c>
      <c r="O60" s="14">
        <v>329.25</v>
      </c>
      <c r="P60" s="14">
        <v>324.5</v>
      </c>
      <c r="Q60" s="14">
        <v>321.75</v>
      </c>
      <c r="R60" s="14">
        <v>325.875</v>
      </c>
      <c r="S60" s="14">
        <v>325.75</v>
      </c>
      <c r="T60" s="14">
        <v>327.625</v>
      </c>
      <c r="U60" s="14">
        <v>326.625</v>
      </c>
      <c r="V60" s="14">
        <v>325.25</v>
      </c>
      <c r="W60" s="14">
        <v>329.375</v>
      </c>
      <c r="X60" s="5">
        <f t="shared" si="1"/>
        <v>325.84375</v>
      </c>
    </row>
    <row r="61" spans="1:24" x14ac:dyDescent="0.25">
      <c r="A61" s="14" t="s">
        <v>62</v>
      </c>
      <c r="B61" s="14" t="s">
        <v>39</v>
      </c>
      <c r="C61" s="14" t="s">
        <v>40</v>
      </c>
      <c r="D61" s="14">
        <v>326.5</v>
      </c>
      <c r="E61" s="14">
        <v>324.125</v>
      </c>
      <c r="F61" s="14">
        <v>325.625</v>
      </c>
      <c r="G61" s="14">
        <v>323.625</v>
      </c>
      <c r="H61" s="14">
        <v>323.875</v>
      </c>
      <c r="I61" s="14">
        <v>324.75</v>
      </c>
      <c r="J61" s="14">
        <v>325.25</v>
      </c>
      <c r="K61" s="14">
        <v>325.125</v>
      </c>
      <c r="L61" s="14">
        <v>326.5</v>
      </c>
      <c r="M61" s="14">
        <v>322.75</v>
      </c>
      <c r="N61" s="14">
        <v>324.875</v>
      </c>
      <c r="O61" s="14">
        <v>323.25</v>
      </c>
      <c r="P61" s="14">
        <v>322</v>
      </c>
      <c r="Q61" s="14">
        <v>323.625</v>
      </c>
      <c r="R61" s="14">
        <v>322.125</v>
      </c>
      <c r="S61" s="14">
        <v>324.5</v>
      </c>
      <c r="T61" s="14">
        <v>323.5</v>
      </c>
      <c r="U61" s="14">
        <v>323.625</v>
      </c>
      <c r="V61" s="14">
        <v>324.5</v>
      </c>
      <c r="W61" s="14">
        <v>323.375</v>
      </c>
      <c r="X61" s="5">
        <f t="shared" si="1"/>
        <v>324.17500000000001</v>
      </c>
    </row>
    <row r="62" spans="1:24" x14ac:dyDescent="0.25">
      <c r="A62" s="14" t="s">
        <v>63</v>
      </c>
      <c r="B62" s="14" t="s">
        <v>39</v>
      </c>
      <c r="C62" s="14" t="s">
        <v>40</v>
      </c>
      <c r="D62" s="14">
        <v>325.875</v>
      </c>
      <c r="E62" s="14">
        <v>322.25</v>
      </c>
      <c r="F62" s="14">
        <v>321.25</v>
      </c>
      <c r="G62" s="14">
        <v>322.5</v>
      </c>
      <c r="H62" s="14">
        <v>324.875</v>
      </c>
      <c r="I62" s="14">
        <v>322.875</v>
      </c>
      <c r="J62" s="14">
        <v>323.625</v>
      </c>
      <c r="K62" s="14">
        <v>323.375</v>
      </c>
      <c r="L62" s="14">
        <v>323</v>
      </c>
      <c r="M62" s="14">
        <v>321.375</v>
      </c>
      <c r="N62" s="14">
        <v>322.625</v>
      </c>
      <c r="O62" s="14">
        <v>323.375</v>
      </c>
      <c r="P62" s="14">
        <v>323.25</v>
      </c>
      <c r="Q62" s="14">
        <v>323.75</v>
      </c>
      <c r="R62" s="14">
        <v>321.75</v>
      </c>
      <c r="S62" s="14">
        <v>324</v>
      </c>
      <c r="T62" s="14">
        <v>323.25</v>
      </c>
      <c r="U62" s="14">
        <v>322.25</v>
      </c>
      <c r="V62" s="14">
        <v>323.5</v>
      </c>
      <c r="W62" s="14">
        <v>323.125</v>
      </c>
      <c r="X62" s="5">
        <f t="shared" si="1"/>
        <v>323.09375</v>
      </c>
    </row>
    <row r="63" spans="1:24" x14ac:dyDescent="0.25">
      <c r="A63" s="14" t="s">
        <v>64</v>
      </c>
      <c r="B63" s="14" t="s">
        <v>39</v>
      </c>
      <c r="C63" s="14" t="s">
        <v>40</v>
      </c>
      <c r="D63" s="14">
        <v>323</v>
      </c>
      <c r="E63" s="14">
        <v>323</v>
      </c>
      <c r="F63" s="14">
        <v>323</v>
      </c>
      <c r="G63" s="14">
        <v>323.875</v>
      </c>
      <c r="H63" s="14">
        <v>323.75</v>
      </c>
      <c r="I63" s="14">
        <v>324.5</v>
      </c>
      <c r="J63" s="14">
        <v>323.375</v>
      </c>
      <c r="K63" s="14">
        <v>320.5</v>
      </c>
      <c r="L63" s="14">
        <v>322.375</v>
      </c>
      <c r="M63" s="14">
        <v>321.5</v>
      </c>
      <c r="N63" s="14">
        <v>322.25</v>
      </c>
      <c r="O63" s="14">
        <v>322.5</v>
      </c>
      <c r="P63" s="14">
        <v>321.875</v>
      </c>
      <c r="Q63" s="14">
        <v>323</v>
      </c>
      <c r="R63" s="14">
        <v>322.625</v>
      </c>
      <c r="S63" s="14">
        <v>320.5</v>
      </c>
      <c r="T63" s="14">
        <v>321.5</v>
      </c>
      <c r="U63" s="14">
        <v>323</v>
      </c>
      <c r="V63" s="14">
        <v>322.375</v>
      </c>
      <c r="W63" s="14">
        <v>322.75</v>
      </c>
      <c r="X63" s="5">
        <f t="shared" si="1"/>
        <v>322.5625</v>
      </c>
    </row>
    <row r="64" spans="1:24" x14ac:dyDescent="0.25">
      <c r="A64" s="14" t="s">
        <v>65</v>
      </c>
      <c r="B64" s="14" t="s">
        <v>39</v>
      </c>
      <c r="C64" s="14" t="s">
        <v>40</v>
      </c>
      <c r="D64" s="14">
        <v>322.5</v>
      </c>
      <c r="E64" s="14">
        <v>321.75</v>
      </c>
      <c r="F64" s="14">
        <v>321.25</v>
      </c>
      <c r="G64" s="14">
        <v>320.875</v>
      </c>
      <c r="H64" s="14">
        <v>318.75</v>
      </c>
      <c r="I64" s="14">
        <v>319.25</v>
      </c>
      <c r="J64" s="14">
        <v>322</v>
      </c>
      <c r="K64" s="14">
        <v>320.75</v>
      </c>
      <c r="L64" s="14">
        <v>322.5</v>
      </c>
      <c r="M64" s="14">
        <v>319.625</v>
      </c>
      <c r="N64" s="14">
        <v>322.5</v>
      </c>
      <c r="O64" s="14">
        <v>322.75</v>
      </c>
      <c r="P64" s="14">
        <v>322</v>
      </c>
      <c r="Q64" s="14">
        <v>322.125</v>
      </c>
      <c r="R64" s="14">
        <v>320.125</v>
      </c>
      <c r="S64" s="14">
        <v>321</v>
      </c>
      <c r="T64" s="14">
        <v>320.375</v>
      </c>
      <c r="U64" s="14">
        <v>322.875</v>
      </c>
      <c r="V64" s="14">
        <v>320.375</v>
      </c>
      <c r="W64" s="14">
        <v>319.875</v>
      </c>
      <c r="X64" s="5">
        <f t="shared" si="1"/>
        <v>321.16250000000002</v>
      </c>
    </row>
    <row r="65" spans="1:24" x14ac:dyDescent="0.25">
      <c r="A65" s="14" t="s">
        <v>66</v>
      </c>
      <c r="B65" s="14" t="s">
        <v>39</v>
      </c>
      <c r="C65" s="14" t="s">
        <v>40</v>
      </c>
      <c r="D65" s="14">
        <v>319.625</v>
      </c>
      <c r="E65" s="14">
        <v>321.125</v>
      </c>
      <c r="F65" s="14">
        <v>318.125</v>
      </c>
      <c r="G65" s="14">
        <v>320.25</v>
      </c>
      <c r="H65" s="14">
        <v>320.875</v>
      </c>
      <c r="I65" s="14">
        <v>318.125</v>
      </c>
      <c r="J65" s="14">
        <v>319.75</v>
      </c>
      <c r="K65" s="14">
        <v>317.875</v>
      </c>
      <c r="L65" s="14">
        <v>318.75</v>
      </c>
      <c r="M65" s="14">
        <v>319.625</v>
      </c>
      <c r="N65" s="14">
        <v>319.5</v>
      </c>
      <c r="O65" s="14">
        <v>318.25</v>
      </c>
      <c r="P65" s="14">
        <v>319.625</v>
      </c>
      <c r="Q65" s="14">
        <v>318.75</v>
      </c>
      <c r="R65" s="14">
        <v>318.625</v>
      </c>
      <c r="S65" s="14">
        <v>320.625</v>
      </c>
      <c r="T65" s="14">
        <v>317.75</v>
      </c>
      <c r="U65" s="14">
        <v>319.25</v>
      </c>
      <c r="V65" s="14">
        <v>323.125</v>
      </c>
      <c r="W65" s="14">
        <v>321.5</v>
      </c>
      <c r="X65" s="5">
        <f t="shared" si="1"/>
        <v>319.55624999999998</v>
      </c>
    </row>
    <row r="66" spans="1:24" x14ac:dyDescent="0.25">
      <c r="A66" s="14" t="s">
        <v>67</v>
      </c>
      <c r="B66" s="14" t="s">
        <v>39</v>
      </c>
      <c r="C66" s="14" t="s">
        <v>40</v>
      </c>
      <c r="D66" s="14">
        <v>318.375</v>
      </c>
      <c r="E66" s="14">
        <v>318</v>
      </c>
      <c r="F66" s="14">
        <v>317.5</v>
      </c>
      <c r="G66" s="14">
        <v>319.75</v>
      </c>
      <c r="H66" s="14">
        <v>320.25</v>
      </c>
      <c r="I66" s="14">
        <v>316.5</v>
      </c>
      <c r="J66" s="14">
        <v>319.75</v>
      </c>
      <c r="K66" s="14">
        <v>319.625</v>
      </c>
      <c r="L66" s="14">
        <v>320.125</v>
      </c>
      <c r="M66" s="14">
        <v>317.625</v>
      </c>
      <c r="N66" s="14">
        <v>319.375</v>
      </c>
      <c r="O66" s="14">
        <v>317.625</v>
      </c>
      <c r="P66" s="14">
        <v>318.25</v>
      </c>
      <c r="Q66" s="14">
        <v>317.375</v>
      </c>
      <c r="R66" s="14">
        <v>317.875</v>
      </c>
      <c r="S66" s="14">
        <v>317.5</v>
      </c>
      <c r="T66" s="14">
        <v>317.125</v>
      </c>
      <c r="U66" s="14">
        <v>318.625</v>
      </c>
      <c r="V66" s="14">
        <v>319.75</v>
      </c>
      <c r="W66" s="14">
        <v>317.625</v>
      </c>
      <c r="X66" s="5">
        <f t="shared" si="1"/>
        <v>318.43124999999998</v>
      </c>
    </row>
    <row r="67" spans="1:24" x14ac:dyDescent="0.25">
      <c r="A67" s="14" t="s">
        <v>68</v>
      </c>
      <c r="B67" s="14" t="s">
        <v>39</v>
      </c>
      <c r="C67" s="14" t="s">
        <v>40</v>
      </c>
      <c r="D67" s="14">
        <v>318.375</v>
      </c>
      <c r="E67" s="14">
        <v>316.125</v>
      </c>
      <c r="F67" s="14">
        <v>316.25</v>
      </c>
      <c r="G67" s="14">
        <v>319.625</v>
      </c>
      <c r="H67" s="14">
        <v>317.375</v>
      </c>
      <c r="I67" s="14">
        <v>319.375</v>
      </c>
      <c r="J67" s="14">
        <v>318.875</v>
      </c>
      <c r="K67" s="14">
        <v>317.25</v>
      </c>
      <c r="L67" s="14">
        <v>316.125</v>
      </c>
      <c r="M67" s="14">
        <v>318.5</v>
      </c>
      <c r="N67" s="14">
        <v>316.875</v>
      </c>
      <c r="O67" s="14">
        <v>319.875</v>
      </c>
      <c r="P67" s="14">
        <v>317</v>
      </c>
      <c r="Q67" s="14">
        <v>316.625</v>
      </c>
      <c r="R67" s="14">
        <v>317.5</v>
      </c>
      <c r="S67" s="14">
        <v>316.375</v>
      </c>
      <c r="T67" s="14">
        <v>316.25</v>
      </c>
      <c r="U67" s="14">
        <v>317.5</v>
      </c>
      <c r="V67" s="14">
        <v>318.625</v>
      </c>
      <c r="W67" s="14">
        <v>316.625</v>
      </c>
      <c r="X67" s="5">
        <f t="shared" si="1"/>
        <v>317.55624999999998</v>
      </c>
    </row>
    <row r="68" spans="1:24" x14ac:dyDescent="0.25">
      <c r="A68" s="14" t="s">
        <v>69</v>
      </c>
      <c r="B68" s="14" t="s">
        <v>39</v>
      </c>
      <c r="C68" s="14" t="s">
        <v>40</v>
      </c>
      <c r="D68" s="14">
        <v>316.25</v>
      </c>
      <c r="E68" s="14">
        <v>317</v>
      </c>
      <c r="F68" s="14">
        <v>317.625</v>
      </c>
      <c r="G68" s="14">
        <v>318.5</v>
      </c>
      <c r="H68" s="14">
        <v>317.875</v>
      </c>
      <c r="I68" s="14">
        <v>317</v>
      </c>
      <c r="J68" s="14">
        <v>315.875</v>
      </c>
      <c r="K68" s="14">
        <v>316.875</v>
      </c>
      <c r="L68" s="14">
        <v>316.75</v>
      </c>
      <c r="M68" s="14">
        <v>316.25</v>
      </c>
      <c r="N68" s="14">
        <v>318.375</v>
      </c>
      <c r="O68" s="14">
        <v>318</v>
      </c>
      <c r="P68" s="14">
        <v>318</v>
      </c>
      <c r="Q68" s="14">
        <v>320.875</v>
      </c>
      <c r="R68" s="14">
        <v>318.25</v>
      </c>
      <c r="S68" s="14">
        <v>317.875</v>
      </c>
      <c r="T68" s="14">
        <v>317.25</v>
      </c>
      <c r="U68" s="14">
        <v>319.875</v>
      </c>
      <c r="V68" s="14">
        <v>318.375</v>
      </c>
      <c r="W68" s="14">
        <v>318.125</v>
      </c>
      <c r="X68" s="5">
        <f t="shared" si="1"/>
        <v>317.75</v>
      </c>
    </row>
    <row r="69" spans="1:24" x14ac:dyDescent="0.25">
      <c r="A69" s="14" t="s">
        <v>70</v>
      </c>
      <c r="B69" s="14" t="s">
        <v>39</v>
      </c>
      <c r="C69" s="14" t="s">
        <v>40</v>
      </c>
      <c r="D69" s="14">
        <v>314.25</v>
      </c>
      <c r="E69" s="14">
        <v>314.5</v>
      </c>
      <c r="F69" s="14">
        <v>317</v>
      </c>
      <c r="G69" s="14">
        <v>316.625</v>
      </c>
      <c r="H69" s="14">
        <v>315.5</v>
      </c>
      <c r="I69" s="14">
        <v>316.25</v>
      </c>
      <c r="J69" s="14">
        <v>316.375</v>
      </c>
      <c r="K69" s="14">
        <v>317.25</v>
      </c>
      <c r="L69" s="14">
        <v>317.875</v>
      </c>
      <c r="M69" s="14">
        <v>316.75</v>
      </c>
      <c r="N69" s="14">
        <v>315.375</v>
      </c>
      <c r="O69" s="14">
        <v>317.375</v>
      </c>
      <c r="P69" s="14">
        <v>318.5</v>
      </c>
      <c r="Q69" s="14">
        <v>315.875</v>
      </c>
      <c r="R69" s="14">
        <v>316.5</v>
      </c>
      <c r="S69" s="14">
        <v>316.75</v>
      </c>
      <c r="T69" s="14">
        <v>315.375</v>
      </c>
      <c r="U69" s="14">
        <v>316.5</v>
      </c>
      <c r="V69" s="14">
        <v>317.5</v>
      </c>
      <c r="W69" s="14">
        <v>316.125</v>
      </c>
      <c r="X69" s="5">
        <f t="shared" si="1"/>
        <v>316.41250000000002</v>
      </c>
    </row>
    <row r="70" spans="1:24" x14ac:dyDescent="0.25">
      <c r="A70" s="14" t="s">
        <v>71</v>
      </c>
      <c r="B70" s="14" t="s">
        <v>39</v>
      </c>
      <c r="C70" s="14" t="s">
        <v>40</v>
      </c>
      <c r="D70" s="14">
        <v>315.625</v>
      </c>
      <c r="E70" s="14">
        <v>316.25</v>
      </c>
      <c r="F70" s="14">
        <v>316.875</v>
      </c>
      <c r="G70" s="14">
        <v>314.5</v>
      </c>
      <c r="H70" s="14">
        <v>314.875</v>
      </c>
      <c r="I70" s="14">
        <v>316.875</v>
      </c>
      <c r="J70" s="14">
        <v>315</v>
      </c>
      <c r="K70" s="14">
        <v>316.75</v>
      </c>
      <c r="L70" s="14">
        <v>315.25</v>
      </c>
      <c r="M70" s="14">
        <v>316.375</v>
      </c>
      <c r="N70" s="14">
        <v>319.5</v>
      </c>
      <c r="O70" s="14">
        <v>315.375</v>
      </c>
      <c r="P70" s="14">
        <v>314.75</v>
      </c>
      <c r="Q70" s="14">
        <v>315.375</v>
      </c>
      <c r="R70" s="14">
        <v>315.5</v>
      </c>
      <c r="S70" s="14">
        <v>315.625</v>
      </c>
      <c r="T70" s="14">
        <v>318.25</v>
      </c>
      <c r="U70" s="14">
        <v>317.125</v>
      </c>
      <c r="V70" s="14">
        <v>318.375</v>
      </c>
      <c r="W70" s="14">
        <v>316</v>
      </c>
      <c r="X70" s="5">
        <f t="shared" si="1"/>
        <v>316.21249999999998</v>
      </c>
    </row>
    <row r="71" spans="1:24" x14ac:dyDescent="0.25">
      <c r="A71" s="14" t="s">
        <v>72</v>
      </c>
      <c r="B71" s="14" t="s">
        <v>39</v>
      </c>
      <c r="C71" s="14" t="s">
        <v>40</v>
      </c>
      <c r="D71" s="14">
        <v>313.5</v>
      </c>
      <c r="E71" s="14">
        <v>315.875</v>
      </c>
      <c r="F71" s="14">
        <v>315.875</v>
      </c>
      <c r="G71" s="14">
        <v>316</v>
      </c>
      <c r="H71" s="14">
        <v>315.125</v>
      </c>
      <c r="I71" s="14">
        <v>316.125</v>
      </c>
      <c r="J71" s="14">
        <v>315.5</v>
      </c>
      <c r="K71" s="14">
        <v>317.25</v>
      </c>
      <c r="L71" s="14">
        <v>315.5</v>
      </c>
      <c r="M71" s="14">
        <v>316</v>
      </c>
      <c r="N71" s="14">
        <v>314.25</v>
      </c>
      <c r="O71" s="14">
        <v>316.375</v>
      </c>
      <c r="P71" s="14">
        <v>313.875</v>
      </c>
      <c r="Q71" s="14">
        <v>317</v>
      </c>
      <c r="R71" s="14">
        <v>316.75</v>
      </c>
      <c r="S71" s="14">
        <v>316.375</v>
      </c>
      <c r="T71" s="14">
        <v>316.625</v>
      </c>
      <c r="U71" s="14">
        <v>316.5</v>
      </c>
      <c r="V71" s="14">
        <v>315</v>
      </c>
      <c r="W71" s="14">
        <v>315.75</v>
      </c>
      <c r="X71" s="5">
        <f t="shared" si="1"/>
        <v>315.76249999999999</v>
      </c>
    </row>
    <row r="72" spans="1:24" x14ac:dyDescent="0.25">
      <c r="A72" s="14" t="s">
        <v>73</v>
      </c>
      <c r="B72" s="14" t="s">
        <v>39</v>
      </c>
      <c r="C72" s="14" t="s">
        <v>40</v>
      </c>
      <c r="D72" s="14">
        <v>313.25</v>
      </c>
      <c r="E72" s="14">
        <v>316.375</v>
      </c>
      <c r="F72" s="14">
        <v>318.125</v>
      </c>
      <c r="G72" s="14">
        <v>316.75</v>
      </c>
      <c r="H72" s="14">
        <v>316.75</v>
      </c>
      <c r="I72" s="14">
        <v>315.875</v>
      </c>
      <c r="J72" s="14">
        <v>316.375</v>
      </c>
      <c r="K72" s="14">
        <v>314.75</v>
      </c>
      <c r="L72" s="14">
        <v>315.875</v>
      </c>
      <c r="M72" s="14">
        <v>315.5</v>
      </c>
      <c r="N72" s="14">
        <v>315.875</v>
      </c>
      <c r="O72" s="14">
        <v>315.625</v>
      </c>
      <c r="P72" s="14">
        <v>313.5</v>
      </c>
      <c r="Q72" s="14">
        <v>313.5</v>
      </c>
      <c r="R72" s="14">
        <v>315.875</v>
      </c>
      <c r="S72" s="14">
        <v>316</v>
      </c>
      <c r="T72" s="14">
        <v>315.125</v>
      </c>
      <c r="U72" s="14">
        <v>317.5</v>
      </c>
      <c r="V72" s="14">
        <v>316.875</v>
      </c>
      <c r="W72" s="14">
        <v>315.25</v>
      </c>
      <c r="X72" s="5">
        <f t="shared" si="1"/>
        <v>315.73750000000001</v>
      </c>
    </row>
    <row r="73" spans="1:24" x14ac:dyDescent="0.25">
      <c r="A73" s="14" t="s">
        <v>74</v>
      </c>
      <c r="B73" s="14" t="s">
        <v>39</v>
      </c>
      <c r="C73" s="14" t="s">
        <v>40</v>
      </c>
      <c r="D73" s="14">
        <v>315.75</v>
      </c>
      <c r="E73" s="14">
        <v>314</v>
      </c>
      <c r="F73" s="14">
        <v>313.625</v>
      </c>
      <c r="G73" s="14">
        <v>314.375</v>
      </c>
      <c r="H73" s="14">
        <v>315</v>
      </c>
      <c r="I73" s="14">
        <v>312.875</v>
      </c>
      <c r="J73" s="14">
        <v>315.125</v>
      </c>
      <c r="K73" s="14">
        <v>314.875</v>
      </c>
      <c r="L73" s="14">
        <v>313.75</v>
      </c>
      <c r="M73" s="14">
        <v>314.375</v>
      </c>
      <c r="N73" s="14">
        <v>315.5</v>
      </c>
      <c r="O73" s="14">
        <v>316.75</v>
      </c>
      <c r="P73" s="14">
        <v>315.875</v>
      </c>
      <c r="Q73" s="14">
        <v>316.5</v>
      </c>
      <c r="R73" s="14">
        <v>315.375</v>
      </c>
      <c r="S73" s="14">
        <v>313.75</v>
      </c>
      <c r="T73" s="14">
        <v>313.75</v>
      </c>
      <c r="U73" s="14">
        <v>313.375</v>
      </c>
      <c r="V73" s="14">
        <v>313.25</v>
      </c>
      <c r="W73" s="14">
        <v>314.625</v>
      </c>
      <c r="X73" s="5">
        <f t="shared" si="1"/>
        <v>314.625</v>
      </c>
    </row>
    <row r="74" spans="1:24" x14ac:dyDescent="0.25">
      <c r="A74" s="14" t="s">
        <v>75</v>
      </c>
      <c r="B74" s="14" t="s">
        <v>39</v>
      </c>
      <c r="C74" s="14" t="s">
        <v>40</v>
      </c>
      <c r="D74" s="14">
        <v>313.625</v>
      </c>
      <c r="E74" s="14">
        <v>314.375</v>
      </c>
      <c r="F74" s="14">
        <v>315.5</v>
      </c>
      <c r="G74" s="14">
        <v>314.875</v>
      </c>
      <c r="H74" s="14">
        <v>313.75</v>
      </c>
      <c r="I74" s="14">
        <v>313.5</v>
      </c>
      <c r="J74" s="14">
        <v>314</v>
      </c>
      <c r="K74" s="14">
        <v>314.625</v>
      </c>
      <c r="L74" s="14">
        <v>314.375</v>
      </c>
      <c r="M74" s="14">
        <v>313.375</v>
      </c>
      <c r="N74" s="14">
        <v>313.25</v>
      </c>
      <c r="O74" s="14">
        <v>317.25</v>
      </c>
      <c r="P74" s="14">
        <v>313.5</v>
      </c>
      <c r="Q74" s="14">
        <v>315.25</v>
      </c>
      <c r="R74" s="14">
        <v>314.125</v>
      </c>
      <c r="S74" s="14">
        <v>315.625</v>
      </c>
      <c r="T74" s="14">
        <v>312.375</v>
      </c>
      <c r="U74" s="14">
        <v>315</v>
      </c>
      <c r="V74" s="14">
        <v>313.125</v>
      </c>
      <c r="W74" s="14">
        <v>312.75</v>
      </c>
      <c r="X74" s="5">
        <f t="shared" si="1"/>
        <v>314.21249999999998</v>
      </c>
    </row>
    <row r="75" spans="1:24" x14ac:dyDescent="0.25">
      <c r="A75" s="14" t="s">
        <v>76</v>
      </c>
      <c r="B75" s="14" t="s">
        <v>39</v>
      </c>
      <c r="C75" s="14" t="s">
        <v>40</v>
      </c>
      <c r="D75" s="14">
        <v>314.75</v>
      </c>
      <c r="E75" s="14">
        <v>316.625</v>
      </c>
      <c r="F75" s="14">
        <v>313</v>
      </c>
      <c r="G75" s="14">
        <v>314.875</v>
      </c>
      <c r="H75" s="14">
        <v>313.875</v>
      </c>
      <c r="I75" s="14">
        <v>313.75</v>
      </c>
      <c r="J75" s="14">
        <v>313.75</v>
      </c>
      <c r="K75" s="14">
        <v>314.125</v>
      </c>
      <c r="L75" s="14">
        <v>316.5</v>
      </c>
      <c r="M75" s="14">
        <v>313.5</v>
      </c>
      <c r="N75" s="14">
        <v>312.5</v>
      </c>
      <c r="O75" s="14">
        <v>313</v>
      </c>
      <c r="P75" s="14">
        <v>316</v>
      </c>
      <c r="Q75" s="14">
        <v>313.5</v>
      </c>
      <c r="R75" s="14">
        <v>313.25</v>
      </c>
      <c r="S75" s="14">
        <v>314.875</v>
      </c>
      <c r="T75" s="14">
        <v>313.125</v>
      </c>
      <c r="U75" s="14">
        <v>312.125</v>
      </c>
      <c r="V75" s="14">
        <v>312.375</v>
      </c>
      <c r="W75" s="14">
        <v>312.625</v>
      </c>
      <c r="X75" s="5">
        <f t="shared" si="1"/>
        <v>313.90625</v>
      </c>
    </row>
    <row r="76" spans="1:24" x14ac:dyDescent="0.25">
      <c r="X76" s="5">
        <f>AVERAGE(X57:X75)</f>
        <v>319.93618421052628</v>
      </c>
    </row>
    <row r="82" spans="1:24" x14ac:dyDescent="0.25">
      <c r="A82" s="22" t="s">
        <v>38</v>
      </c>
      <c r="B82" s="22" t="s">
        <v>42</v>
      </c>
      <c r="C82" s="22" t="s">
        <v>41</v>
      </c>
      <c r="D82" s="22">
        <v>360.75</v>
      </c>
      <c r="E82" s="22">
        <v>359</v>
      </c>
      <c r="F82" s="22">
        <v>360.125</v>
      </c>
      <c r="G82" s="22">
        <v>357.375</v>
      </c>
      <c r="H82" s="22">
        <v>362.375</v>
      </c>
      <c r="I82" s="22">
        <v>361.25</v>
      </c>
      <c r="J82" s="22">
        <v>359.625</v>
      </c>
      <c r="K82" s="22">
        <v>361.375</v>
      </c>
      <c r="L82" s="22">
        <v>360.375</v>
      </c>
      <c r="M82" s="22">
        <v>359.5</v>
      </c>
      <c r="N82" s="22">
        <v>359.375</v>
      </c>
      <c r="O82" s="22">
        <v>362.5</v>
      </c>
      <c r="P82" s="22">
        <v>360.875</v>
      </c>
      <c r="Q82" s="22">
        <v>360.375</v>
      </c>
      <c r="R82" s="22">
        <v>360.625</v>
      </c>
      <c r="S82" s="22">
        <v>360.625</v>
      </c>
      <c r="T82" s="22">
        <v>358.75</v>
      </c>
      <c r="U82" s="22">
        <v>361.625</v>
      </c>
      <c r="V82" s="22">
        <v>358.625</v>
      </c>
      <c r="W82" s="22">
        <v>359.375</v>
      </c>
      <c r="X82" s="21">
        <f t="shared" ref="X82:X116" si="2">AVERAGE(D82:W82)</f>
        <v>360.22500000000002</v>
      </c>
    </row>
    <row r="83" spans="1:24" x14ac:dyDescent="0.25">
      <c r="A83" s="22" t="s">
        <v>43</v>
      </c>
      <c r="B83" s="22" t="s">
        <v>42</v>
      </c>
      <c r="C83" s="22" t="s">
        <v>41</v>
      </c>
      <c r="D83" s="22">
        <v>344.75</v>
      </c>
      <c r="E83" s="22">
        <v>342.75</v>
      </c>
      <c r="F83" s="22">
        <v>344.5</v>
      </c>
      <c r="G83" s="22">
        <v>343.125</v>
      </c>
      <c r="H83" s="22">
        <v>342.875</v>
      </c>
      <c r="I83" s="22">
        <v>342.25</v>
      </c>
      <c r="J83" s="22">
        <v>344.75</v>
      </c>
      <c r="K83" s="22">
        <v>342.75</v>
      </c>
      <c r="L83" s="22">
        <v>341.75</v>
      </c>
      <c r="M83" s="22">
        <v>343.25</v>
      </c>
      <c r="N83" s="22">
        <v>344.625</v>
      </c>
      <c r="O83" s="22">
        <v>344.25</v>
      </c>
      <c r="P83" s="22">
        <v>345.5</v>
      </c>
      <c r="Q83" s="22">
        <v>341.5</v>
      </c>
      <c r="R83" s="22">
        <v>343.75</v>
      </c>
      <c r="S83" s="22">
        <v>343.75</v>
      </c>
      <c r="T83" s="22">
        <v>342.875</v>
      </c>
      <c r="U83" s="22">
        <v>344.25</v>
      </c>
      <c r="V83" s="22">
        <v>344.125</v>
      </c>
      <c r="W83" s="22">
        <v>342.625</v>
      </c>
      <c r="X83" s="21">
        <f t="shared" si="2"/>
        <v>343.5</v>
      </c>
    </row>
    <row r="84" spans="1:24" x14ac:dyDescent="0.25">
      <c r="A84" s="22" t="s">
        <v>44</v>
      </c>
      <c r="B84" s="22" t="s">
        <v>42</v>
      </c>
      <c r="C84" s="22" t="s">
        <v>41</v>
      </c>
      <c r="D84" s="22">
        <v>337</v>
      </c>
      <c r="E84" s="22">
        <v>335</v>
      </c>
      <c r="F84" s="22">
        <v>335.25</v>
      </c>
      <c r="G84" s="22">
        <v>335</v>
      </c>
      <c r="H84" s="22">
        <v>335.75</v>
      </c>
      <c r="I84" s="22">
        <v>334.5</v>
      </c>
      <c r="J84" s="22">
        <v>334.375</v>
      </c>
      <c r="K84" s="22">
        <v>335.125</v>
      </c>
      <c r="L84" s="22">
        <v>335</v>
      </c>
      <c r="M84" s="22">
        <v>333.75</v>
      </c>
      <c r="N84" s="22">
        <v>333.75</v>
      </c>
      <c r="O84" s="22">
        <v>335</v>
      </c>
      <c r="P84" s="22">
        <v>333.75</v>
      </c>
      <c r="Q84" s="22">
        <v>337.25</v>
      </c>
      <c r="R84" s="22">
        <v>337</v>
      </c>
      <c r="S84" s="22">
        <v>335.375</v>
      </c>
      <c r="T84" s="22">
        <v>334.875</v>
      </c>
      <c r="U84" s="22">
        <v>335</v>
      </c>
      <c r="V84" s="22">
        <v>335.625</v>
      </c>
      <c r="W84" s="22">
        <v>336</v>
      </c>
      <c r="X84" s="21">
        <f t="shared" si="2"/>
        <v>335.21875</v>
      </c>
    </row>
    <row r="85" spans="1:24" x14ac:dyDescent="0.25">
      <c r="A85" s="22" t="s">
        <v>45</v>
      </c>
      <c r="B85" s="22" t="s">
        <v>42</v>
      </c>
      <c r="C85" s="22" t="s">
        <v>41</v>
      </c>
      <c r="D85" s="22">
        <v>329.875</v>
      </c>
      <c r="E85" s="22">
        <v>327.25</v>
      </c>
      <c r="F85" s="22">
        <v>332.75</v>
      </c>
      <c r="G85" s="22">
        <v>329.375</v>
      </c>
      <c r="H85" s="22">
        <v>329.625</v>
      </c>
      <c r="I85" s="22">
        <v>331.875</v>
      </c>
      <c r="J85" s="22">
        <v>328.25</v>
      </c>
      <c r="K85" s="22">
        <v>327.625</v>
      </c>
      <c r="L85" s="22">
        <v>329.375</v>
      </c>
      <c r="M85" s="22">
        <v>331.75</v>
      </c>
      <c r="N85" s="22">
        <v>330.375</v>
      </c>
      <c r="O85" s="22">
        <v>332.625</v>
      </c>
      <c r="P85" s="22">
        <v>329.875</v>
      </c>
      <c r="Q85" s="22">
        <v>331.125</v>
      </c>
      <c r="R85" s="22">
        <v>332.25</v>
      </c>
      <c r="S85" s="22">
        <v>331</v>
      </c>
      <c r="T85" s="22">
        <v>327.375</v>
      </c>
      <c r="U85" s="22">
        <v>330.75</v>
      </c>
      <c r="V85" s="22">
        <v>328.75</v>
      </c>
      <c r="W85" s="22">
        <v>329.5</v>
      </c>
      <c r="X85" s="21">
        <f t="shared" si="2"/>
        <v>330.06875000000002</v>
      </c>
    </row>
    <row r="86" spans="1:24" x14ac:dyDescent="0.25">
      <c r="A86" s="22" t="s">
        <v>46</v>
      </c>
      <c r="B86" s="22" t="s">
        <v>42</v>
      </c>
      <c r="C86" s="22" t="s">
        <v>41</v>
      </c>
      <c r="D86" s="22">
        <v>327.75</v>
      </c>
      <c r="E86" s="22">
        <v>328.25</v>
      </c>
      <c r="F86" s="22">
        <v>328.625</v>
      </c>
      <c r="G86" s="22">
        <v>326.625</v>
      </c>
      <c r="H86" s="22">
        <v>326.375</v>
      </c>
      <c r="I86" s="22">
        <v>327.875</v>
      </c>
      <c r="J86" s="22">
        <v>325.875</v>
      </c>
      <c r="K86" s="22">
        <v>327.5</v>
      </c>
      <c r="L86" s="22">
        <v>324.5</v>
      </c>
      <c r="M86" s="22">
        <v>327.375</v>
      </c>
      <c r="N86" s="22">
        <v>326.875</v>
      </c>
      <c r="O86" s="22">
        <v>327.375</v>
      </c>
      <c r="P86" s="22">
        <v>326.875</v>
      </c>
      <c r="Q86" s="22">
        <v>327.625</v>
      </c>
      <c r="R86" s="22">
        <v>327.375</v>
      </c>
      <c r="S86" s="22">
        <v>327.375</v>
      </c>
      <c r="T86" s="22">
        <v>325.5</v>
      </c>
      <c r="U86" s="22">
        <v>325</v>
      </c>
      <c r="V86" s="22">
        <v>325.875</v>
      </c>
      <c r="W86" s="22">
        <v>328.25</v>
      </c>
      <c r="X86" s="21">
        <f t="shared" si="2"/>
        <v>326.94375000000002</v>
      </c>
    </row>
    <row r="87" spans="1:24" x14ac:dyDescent="0.25">
      <c r="A87" s="22" t="s">
        <v>47</v>
      </c>
      <c r="B87" s="22" t="s">
        <v>42</v>
      </c>
      <c r="C87" s="22" t="s">
        <v>41</v>
      </c>
      <c r="D87" s="22">
        <v>326.125</v>
      </c>
      <c r="E87" s="22">
        <v>322.25</v>
      </c>
      <c r="F87" s="22">
        <v>324.75</v>
      </c>
      <c r="G87" s="22">
        <v>325.125</v>
      </c>
      <c r="H87" s="22">
        <v>323.625</v>
      </c>
      <c r="I87" s="22">
        <v>325.875</v>
      </c>
      <c r="J87" s="22">
        <v>324.25</v>
      </c>
      <c r="K87" s="22">
        <v>322.625</v>
      </c>
      <c r="L87" s="22">
        <v>324.25</v>
      </c>
      <c r="M87" s="22">
        <v>325.375</v>
      </c>
      <c r="N87" s="22">
        <v>323.75</v>
      </c>
      <c r="O87" s="22">
        <v>325.375</v>
      </c>
      <c r="P87" s="22">
        <v>323.75</v>
      </c>
      <c r="Q87" s="22">
        <v>323.875</v>
      </c>
      <c r="R87" s="22">
        <v>326</v>
      </c>
      <c r="S87" s="22">
        <v>324.125</v>
      </c>
      <c r="T87" s="22">
        <v>324.125</v>
      </c>
      <c r="U87" s="22">
        <v>324.125</v>
      </c>
      <c r="V87" s="22">
        <v>324.5</v>
      </c>
      <c r="W87" s="22">
        <v>323.125</v>
      </c>
      <c r="X87" s="21">
        <f t="shared" si="2"/>
        <v>324.35000000000002</v>
      </c>
    </row>
    <row r="88" spans="1:24" x14ac:dyDescent="0.25">
      <c r="A88" s="22" t="s">
        <v>48</v>
      </c>
      <c r="B88" s="22" t="s">
        <v>42</v>
      </c>
      <c r="C88" s="22" t="s">
        <v>41</v>
      </c>
      <c r="D88" s="22">
        <v>325.375</v>
      </c>
      <c r="E88" s="22">
        <v>323.75</v>
      </c>
      <c r="F88" s="22">
        <v>322.25</v>
      </c>
      <c r="G88" s="22">
        <v>323.75</v>
      </c>
      <c r="H88" s="22">
        <v>325.125</v>
      </c>
      <c r="I88" s="22">
        <v>326.125</v>
      </c>
      <c r="J88" s="22">
        <v>324.75</v>
      </c>
      <c r="K88" s="22">
        <v>323.75</v>
      </c>
      <c r="L88" s="22">
        <v>325.625</v>
      </c>
      <c r="M88" s="22">
        <v>325</v>
      </c>
      <c r="N88" s="22">
        <v>323.875</v>
      </c>
      <c r="O88" s="22">
        <v>320.875</v>
      </c>
      <c r="P88" s="22">
        <v>323.5</v>
      </c>
      <c r="Q88" s="22">
        <v>324.375</v>
      </c>
      <c r="R88" s="22">
        <v>324</v>
      </c>
      <c r="S88" s="22">
        <v>323.5</v>
      </c>
      <c r="T88" s="22">
        <v>325.125</v>
      </c>
      <c r="U88" s="22">
        <v>324</v>
      </c>
      <c r="V88" s="22">
        <v>325.25</v>
      </c>
      <c r="W88" s="22">
        <v>324.5</v>
      </c>
      <c r="X88" s="21">
        <f t="shared" si="2"/>
        <v>324.22500000000002</v>
      </c>
    </row>
    <row r="89" spans="1:24" x14ac:dyDescent="0.25">
      <c r="A89" s="22" t="s">
        <v>49</v>
      </c>
      <c r="B89" s="22" t="s">
        <v>42</v>
      </c>
      <c r="C89" s="22" t="s">
        <v>41</v>
      </c>
      <c r="D89" s="22">
        <v>324.375</v>
      </c>
      <c r="E89" s="22">
        <v>322.375</v>
      </c>
      <c r="F89" s="22">
        <v>323.75</v>
      </c>
      <c r="G89" s="22">
        <v>322.875</v>
      </c>
      <c r="H89" s="22">
        <v>320.875</v>
      </c>
      <c r="I89" s="22">
        <v>324</v>
      </c>
      <c r="J89" s="22">
        <v>323</v>
      </c>
      <c r="K89" s="22">
        <v>321.125</v>
      </c>
      <c r="L89" s="22">
        <v>322.5</v>
      </c>
      <c r="M89" s="22">
        <v>322.5</v>
      </c>
      <c r="N89" s="22">
        <v>321.5</v>
      </c>
      <c r="O89" s="22">
        <v>322</v>
      </c>
      <c r="P89" s="22">
        <v>323.25</v>
      </c>
      <c r="Q89" s="22">
        <v>321.625</v>
      </c>
      <c r="R89" s="22">
        <v>321.625</v>
      </c>
      <c r="S89" s="22">
        <v>322.5</v>
      </c>
      <c r="T89" s="22">
        <v>321.875</v>
      </c>
      <c r="U89" s="22">
        <v>324.375</v>
      </c>
      <c r="V89" s="22">
        <v>319</v>
      </c>
      <c r="W89" s="22">
        <v>319.75</v>
      </c>
      <c r="X89" s="21">
        <f t="shared" si="2"/>
        <v>322.24374999999998</v>
      </c>
    </row>
    <row r="90" spans="1:24" x14ac:dyDescent="0.25">
      <c r="A90" s="22" t="s">
        <v>50</v>
      </c>
      <c r="B90" s="22" t="s">
        <v>42</v>
      </c>
      <c r="C90" s="22" t="s">
        <v>41</v>
      </c>
      <c r="D90" s="22">
        <v>320.75</v>
      </c>
      <c r="E90" s="22">
        <v>321.375</v>
      </c>
      <c r="F90" s="22">
        <v>321.375</v>
      </c>
      <c r="G90" s="22">
        <v>322.25</v>
      </c>
      <c r="H90" s="22">
        <v>321.125</v>
      </c>
      <c r="I90" s="22">
        <v>321.75</v>
      </c>
      <c r="J90" s="22">
        <v>323</v>
      </c>
      <c r="K90" s="22">
        <v>320.125</v>
      </c>
      <c r="L90" s="22">
        <v>322</v>
      </c>
      <c r="M90" s="22">
        <v>321.25</v>
      </c>
      <c r="N90" s="22">
        <v>322.875</v>
      </c>
      <c r="O90" s="22">
        <v>321.625</v>
      </c>
      <c r="P90" s="22">
        <v>319.125</v>
      </c>
      <c r="Q90" s="22">
        <v>319.75</v>
      </c>
      <c r="R90" s="22">
        <v>321.625</v>
      </c>
      <c r="S90" s="22">
        <v>322.375</v>
      </c>
      <c r="T90" s="22">
        <v>321.125</v>
      </c>
      <c r="U90" s="22">
        <v>319.375</v>
      </c>
      <c r="V90" s="22">
        <v>319.375</v>
      </c>
      <c r="W90" s="22">
        <v>318.875</v>
      </c>
      <c r="X90" s="21">
        <f t="shared" si="2"/>
        <v>321.05624999999998</v>
      </c>
    </row>
    <row r="91" spans="1:24" x14ac:dyDescent="0.25">
      <c r="A91" s="22" t="s">
        <v>51</v>
      </c>
      <c r="B91" s="22" t="s">
        <v>42</v>
      </c>
      <c r="C91" s="22" t="s">
        <v>41</v>
      </c>
      <c r="D91" s="22">
        <v>317</v>
      </c>
      <c r="E91" s="22">
        <v>318.125</v>
      </c>
      <c r="F91" s="22">
        <v>317.5</v>
      </c>
      <c r="G91" s="22">
        <v>320.5</v>
      </c>
      <c r="H91" s="22">
        <v>320.375</v>
      </c>
      <c r="I91" s="22">
        <v>320.625</v>
      </c>
      <c r="J91" s="22">
        <v>318.375</v>
      </c>
      <c r="K91" s="22">
        <v>319.625</v>
      </c>
      <c r="L91" s="22">
        <v>317.5</v>
      </c>
      <c r="M91" s="22">
        <v>322</v>
      </c>
      <c r="N91" s="22">
        <v>319.25</v>
      </c>
      <c r="O91" s="22">
        <v>318.125</v>
      </c>
      <c r="P91" s="22">
        <v>320.5</v>
      </c>
      <c r="Q91" s="22">
        <v>319.375</v>
      </c>
      <c r="R91" s="22">
        <v>321.375</v>
      </c>
      <c r="S91" s="22">
        <v>319</v>
      </c>
      <c r="T91" s="22">
        <v>319.5</v>
      </c>
      <c r="U91" s="22">
        <v>317.75</v>
      </c>
      <c r="V91" s="22">
        <v>318.5</v>
      </c>
      <c r="W91" s="22">
        <v>318.625</v>
      </c>
      <c r="X91" s="21">
        <f t="shared" si="2"/>
        <v>319.18124999999998</v>
      </c>
    </row>
    <row r="92" spans="1:24" x14ac:dyDescent="0.25">
      <c r="A92" s="22" t="s">
        <v>52</v>
      </c>
      <c r="B92" s="22" t="s">
        <v>42</v>
      </c>
      <c r="C92" s="22" t="s">
        <v>41</v>
      </c>
      <c r="D92" s="22">
        <v>318.375</v>
      </c>
      <c r="E92" s="22">
        <v>317.875</v>
      </c>
      <c r="F92" s="22">
        <v>316.75</v>
      </c>
      <c r="G92" s="22">
        <v>315.375</v>
      </c>
      <c r="H92" s="22">
        <v>317.875</v>
      </c>
      <c r="I92" s="22">
        <v>317.75</v>
      </c>
      <c r="J92" s="22">
        <v>316.625</v>
      </c>
      <c r="K92" s="22">
        <v>316.375</v>
      </c>
      <c r="L92" s="22">
        <v>316.875</v>
      </c>
      <c r="M92" s="22">
        <v>317</v>
      </c>
      <c r="N92" s="22">
        <v>317.25</v>
      </c>
      <c r="O92" s="22">
        <v>319.25</v>
      </c>
      <c r="P92" s="22">
        <v>317.25</v>
      </c>
      <c r="Q92" s="22">
        <v>317.75</v>
      </c>
      <c r="R92" s="22">
        <v>319.625</v>
      </c>
      <c r="S92" s="22">
        <v>318.125</v>
      </c>
      <c r="T92" s="22">
        <v>318.75</v>
      </c>
      <c r="U92" s="22">
        <v>319.5</v>
      </c>
      <c r="V92" s="22">
        <v>317.25</v>
      </c>
      <c r="W92" s="22">
        <v>320</v>
      </c>
      <c r="X92" s="21">
        <f t="shared" si="2"/>
        <v>317.78125</v>
      </c>
    </row>
    <row r="93" spans="1:24" x14ac:dyDescent="0.25">
      <c r="A93" s="22" t="s">
        <v>53</v>
      </c>
      <c r="B93" s="22" t="s">
        <v>42</v>
      </c>
      <c r="C93" s="22" t="s">
        <v>41</v>
      </c>
      <c r="D93" s="22">
        <v>316.375</v>
      </c>
      <c r="E93" s="22">
        <v>315.625</v>
      </c>
      <c r="F93" s="22">
        <v>317.25</v>
      </c>
      <c r="G93" s="22">
        <v>316.375</v>
      </c>
      <c r="H93" s="22">
        <v>316</v>
      </c>
      <c r="I93" s="22">
        <v>317.5</v>
      </c>
      <c r="J93" s="22">
        <v>317.875</v>
      </c>
      <c r="K93" s="22">
        <v>317.5</v>
      </c>
      <c r="L93" s="22">
        <v>318</v>
      </c>
      <c r="M93" s="22">
        <v>318.375</v>
      </c>
      <c r="N93" s="22">
        <v>316.875</v>
      </c>
      <c r="O93" s="22">
        <v>314</v>
      </c>
      <c r="P93" s="22">
        <v>317.25</v>
      </c>
      <c r="Q93" s="22">
        <v>313.375</v>
      </c>
      <c r="R93" s="22">
        <v>315.375</v>
      </c>
      <c r="S93" s="22">
        <v>316.5</v>
      </c>
      <c r="T93" s="22">
        <v>317.875</v>
      </c>
      <c r="U93" s="22">
        <v>317.625</v>
      </c>
      <c r="V93" s="22">
        <v>317.875</v>
      </c>
      <c r="W93" s="22">
        <v>316.25</v>
      </c>
      <c r="X93" s="21">
        <f t="shared" si="2"/>
        <v>316.69375000000002</v>
      </c>
    </row>
    <row r="94" spans="1:24" x14ac:dyDescent="0.25">
      <c r="A94" s="22" t="s">
        <v>54</v>
      </c>
      <c r="B94" s="22" t="s">
        <v>42</v>
      </c>
      <c r="C94" s="22" t="s">
        <v>41</v>
      </c>
      <c r="D94" s="22">
        <v>316.75</v>
      </c>
      <c r="E94" s="22">
        <v>315.875</v>
      </c>
      <c r="F94" s="22">
        <v>318.75</v>
      </c>
      <c r="G94" s="22">
        <v>316.25</v>
      </c>
      <c r="H94" s="22">
        <v>315.625</v>
      </c>
      <c r="I94" s="22">
        <v>316.5</v>
      </c>
      <c r="J94" s="22">
        <v>315.5</v>
      </c>
      <c r="K94" s="22">
        <v>315.875</v>
      </c>
      <c r="L94" s="22">
        <v>313</v>
      </c>
      <c r="M94" s="22">
        <v>311.5</v>
      </c>
      <c r="N94" s="22">
        <v>314.875</v>
      </c>
      <c r="O94" s="22">
        <v>315.125</v>
      </c>
      <c r="P94" s="22">
        <v>315.625</v>
      </c>
      <c r="Q94" s="22">
        <v>316.75</v>
      </c>
      <c r="R94" s="22">
        <v>316.625</v>
      </c>
      <c r="S94" s="22">
        <v>315.25</v>
      </c>
      <c r="T94" s="22">
        <v>315.5</v>
      </c>
      <c r="U94" s="22">
        <v>314.375</v>
      </c>
      <c r="V94" s="22">
        <v>316.875</v>
      </c>
      <c r="W94" s="22">
        <v>318.5</v>
      </c>
      <c r="X94" s="21">
        <f t="shared" si="2"/>
        <v>315.75625000000002</v>
      </c>
    </row>
    <row r="95" spans="1:24" x14ac:dyDescent="0.25">
      <c r="A95" s="22" t="s">
        <v>55</v>
      </c>
      <c r="B95" s="22" t="s">
        <v>42</v>
      </c>
      <c r="C95" s="22" t="s">
        <v>41</v>
      </c>
      <c r="D95" s="22">
        <v>313.625</v>
      </c>
      <c r="E95" s="22">
        <v>316.375</v>
      </c>
      <c r="F95" s="22">
        <v>316.25</v>
      </c>
      <c r="G95" s="22">
        <v>316.875</v>
      </c>
      <c r="H95" s="22">
        <v>317.125</v>
      </c>
      <c r="I95" s="22">
        <v>313.125</v>
      </c>
      <c r="J95" s="22">
        <v>314.25</v>
      </c>
      <c r="K95" s="22">
        <v>314</v>
      </c>
      <c r="L95" s="22">
        <v>315.125</v>
      </c>
      <c r="M95" s="22">
        <v>314</v>
      </c>
      <c r="N95" s="22">
        <v>314.125</v>
      </c>
      <c r="O95" s="22">
        <v>314.875</v>
      </c>
      <c r="P95" s="22">
        <v>315.625</v>
      </c>
      <c r="Q95" s="22">
        <v>315</v>
      </c>
      <c r="R95" s="22">
        <v>315.25</v>
      </c>
      <c r="S95" s="22">
        <v>316.25</v>
      </c>
      <c r="T95" s="22">
        <v>315.375</v>
      </c>
      <c r="U95" s="22">
        <v>313.75</v>
      </c>
      <c r="V95" s="22">
        <v>315.5</v>
      </c>
      <c r="W95" s="22">
        <v>314.375</v>
      </c>
      <c r="X95" s="21">
        <f t="shared" si="2"/>
        <v>315.04374999999999</v>
      </c>
    </row>
    <row r="96" spans="1:24" x14ac:dyDescent="0.25">
      <c r="A96" s="22" t="s">
        <v>56</v>
      </c>
      <c r="B96" s="22" t="s">
        <v>42</v>
      </c>
      <c r="C96" s="22" t="s">
        <v>41</v>
      </c>
      <c r="D96" s="22">
        <v>313.125</v>
      </c>
      <c r="E96" s="22">
        <v>313.625</v>
      </c>
      <c r="F96" s="22">
        <v>314.25</v>
      </c>
      <c r="G96" s="22">
        <v>312.75</v>
      </c>
      <c r="H96" s="22">
        <v>313.75</v>
      </c>
      <c r="I96" s="22">
        <v>313.75</v>
      </c>
      <c r="J96" s="22">
        <v>313.875</v>
      </c>
      <c r="K96" s="22">
        <v>311.75</v>
      </c>
      <c r="L96" s="22">
        <v>314.625</v>
      </c>
      <c r="M96" s="22">
        <v>312.75</v>
      </c>
      <c r="N96" s="22">
        <v>312.875</v>
      </c>
      <c r="O96" s="22">
        <v>314.625</v>
      </c>
      <c r="P96" s="22">
        <v>314.25</v>
      </c>
      <c r="Q96" s="22">
        <v>314.5</v>
      </c>
      <c r="R96" s="22">
        <v>312.25</v>
      </c>
      <c r="S96" s="22">
        <v>314.25</v>
      </c>
      <c r="T96" s="22">
        <v>314.75</v>
      </c>
      <c r="U96" s="22">
        <v>312.5</v>
      </c>
      <c r="V96" s="22">
        <v>314</v>
      </c>
      <c r="W96" s="22">
        <v>313.75</v>
      </c>
      <c r="X96" s="21">
        <f t="shared" si="2"/>
        <v>313.60000000000002</v>
      </c>
    </row>
    <row r="97" spans="1:24" x14ac:dyDescent="0.25">
      <c r="A97" s="22" t="s">
        <v>57</v>
      </c>
      <c r="B97" s="22" t="s">
        <v>42</v>
      </c>
      <c r="C97" s="22" t="s">
        <v>41</v>
      </c>
      <c r="D97" s="22">
        <v>312.625</v>
      </c>
      <c r="E97" s="22">
        <v>314.125</v>
      </c>
      <c r="F97" s="22">
        <v>313</v>
      </c>
      <c r="G97" s="22">
        <v>313</v>
      </c>
      <c r="H97" s="22">
        <v>309.875</v>
      </c>
      <c r="I97" s="22">
        <v>311.25</v>
      </c>
      <c r="J97" s="22">
        <v>310.25</v>
      </c>
      <c r="K97" s="22">
        <v>313.875</v>
      </c>
      <c r="L97" s="22">
        <v>310.25</v>
      </c>
      <c r="M97" s="22">
        <v>309.625</v>
      </c>
      <c r="N97" s="22">
        <v>310.625</v>
      </c>
      <c r="O97" s="22">
        <v>310</v>
      </c>
      <c r="P97" s="22">
        <v>312.5</v>
      </c>
      <c r="Q97" s="22">
        <v>311</v>
      </c>
      <c r="R97" s="22">
        <v>309.75</v>
      </c>
      <c r="S97" s="22">
        <v>310.375</v>
      </c>
      <c r="T97" s="22">
        <v>312</v>
      </c>
      <c r="U97" s="22">
        <v>311</v>
      </c>
      <c r="V97" s="22">
        <v>312.375</v>
      </c>
      <c r="W97" s="22">
        <v>309.5</v>
      </c>
      <c r="X97" s="21">
        <f t="shared" si="2"/>
        <v>311.35000000000002</v>
      </c>
    </row>
    <row r="98" spans="1:24" x14ac:dyDescent="0.25">
      <c r="A98" s="14" t="s">
        <v>58</v>
      </c>
      <c r="B98" s="14" t="s">
        <v>42</v>
      </c>
      <c r="C98" s="14" t="s">
        <v>41</v>
      </c>
      <c r="D98" s="14">
        <v>307.875</v>
      </c>
      <c r="E98" s="14">
        <v>309.5</v>
      </c>
      <c r="F98" s="14">
        <v>309.25</v>
      </c>
      <c r="G98" s="14">
        <v>309.375</v>
      </c>
      <c r="H98" s="14">
        <v>308.75</v>
      </c>
      <c r="I98" s="14">
        <v>310.875</v>
      </c>
      <c r="J98" s="14">
        <v>308.75</v>
      </c>
      <c r="K98" s="14">
        <v>313.125</v>
      </c>
      <c r="L98" s="14">
        <v>309.625</v>
      </c>
      <c r="M98" s="14">
        <v>309.875</v>
      </c>
      <c r="N98" s="14">
        <v>309.625</v>
      </c>
      <c r="O98" s="14">
        <v>310.5</v>
      </c>
      <c r="P98" s="14">
        <v>312.5</v>
      </c>
      <c r="Q98" s="14">
        <v>312.75</v>
      </c>
      <c r="R98" s="14">
        <v>307.5</v>
      </c>
      <c r="S98" s="14">
        <v>312.625</v>
      </c>
      <c r="T98" s="14">
        <v>310.125</v>
      </c>
      <c r="U98" s="14">
        <v>311.125</v>
      </c>
      <c r="V98" s="14">
        <v>310.625</v>
      </c>
      <c r="W98" s="14">
        <v>308.5</v>
      </c>
      <c r="X98" s="5">
        <f t="shared" si="2"/>
        <v>310.14375000000001</v>
      </c>
    </row>
    <row r="99" spans="1:24" x14ac:dyDescent="0.25">
      <c r="A99" s="14" t="s">
        <v>59</v>
      </c>
      <c r="B99" s="14" t="s">
        <v>42</v>
      </c>
      <c r="C99" s="14" t="s">
        <v>41</v>
      </c>
      <c r="D99" s="14">
        <v>311.125</v>
      </c>
      <c r="E99" s="14">
        <v>312.125</v>
      </c>
      <c r="F99" s="14">
        <v>310.5</v>
      </c>
      <c r="G99" s="14">
        <v>307.375</v>
      </c>
      <c r="H99" s="14">
        <v>308.75</v>
      </c>
      <c r="I99" s="14">
        <v>308.625</v>
      </c>
      <c r="J99" s="14">
        <v>308.25</v>
      </c>
      <c r="K99" s="14">
        <v>308.25</v>
      </c>
      <c r="L99" s="14">
        <v>309.375</v>
      </c>
      <c r="M99" s="14">
        <v>309.25</v>
      </c>
      <c r="N99" s="14">
        <v>307.875</v>
      </c>
      <c r="O99" s="14">
        <v>308.5</v>
      </c>
      <c r="P99" s="14">
        <v>309.5</v>
      </c>
      <c r="Q99" s="14">
        <v>311</v>
      </c>
      <c r="R99" s="14">
        <v>309.75</v>
      </c>
      <c r="S99" s="14">
        <v>309.375</v>
      </c>
      <c r="T99" s="14">
        <v>308.125</v>
      </c>
      <c r="U99" s="14">
        <v>309.875</v>
      </c>
      <c r="V99" s="14">
        <v>310</v>
      </c>
      <c r="W99" s="14">
        <v>310.75</v>
      </c>
      <c r="X99" s="5">
        <f t="shared" si="2"/>
        <v>309.41874999999999</v>
      </c>
    </row>
    <row r="100" spans="1:24" x14ac:dyDescent="0.25">
      <c r="A100" s="14" t="s">
        <v>60</v>
      </c>
      <c r="B100" s="14" t="s">
        <v>42</v>
      </c>
      <c r="C100" s="14" t="s">
        <v>41</v>
      </c>
      <c r="D100" s="14">
        <v>307.5</v>
      </c>
      <c r="E100" s="14">
        <v>308.75</v>
      </c>
      <c r="F100" s="14">
        <v>311.375</v>
      </c>
      <c r="G100" s="14">
        <v>309.25</v>
      </c>
      <c r="H100" s="14">
        <v>311.5</v>
      </c>
      <c r="I100" s="14">
        <v>310.5</v>
      </c>
      <c r="J100" s="14">
        <v>310.875</v>
      </c>
      <c r="K100" s="14">
        <v>307.75</v>
      </c>
      <c r="L100" s="14">
        <v>309.125</v>
      </c>
      <c r="M100" s="14">
        <v>309.5</v>
      </c>
      <c r="N100" s="14">
        <v>308</v>
      </c>
      <c r="O100" s="14">
        <v>310.5</v>
      </c>
      <c r="P100" s="14">
        <v>310.25</v>
      </c>
      <c r="Q100" s="14">
        <v>308.75</v>
      </c>
      <c r="R100" s="14">
        <v>310.875</v>
      </c>
      <c r="S100" s="14">
        <v>308.875</v>
      </c>
      <c r="T100" s="14">
        <v>311.125</v>
      </c>
      <c r="U100" s="14">
        <v>311.125</v>
      </c>
      <c r="V100" s="14">
        <v>311.75</v>
      </c>
      <c r="W100" s="14">
        <v>308.25</v>
      </c>
      <c r="X100" s="5">
        <f t="shared" si="2"/>
        <v>309.78125</v>
      </c>
    </row>
    <row r="101" spans="1:24" x14ac:dyDescent="0.25">
      <c r="A101" s="14" t="s">
        <v>61</v>
      </c>
      <c r="B101" s="14" t="s">
        <v>42</v>
      </c>
      <c r="C101" s="14" t="s">
        <v>41</v>
      </c>
      <c r="D101" s="14">
        <v>308.25</v>
      </c>
      <c r="E101" s="14">
        <v>307.125</v>
      </c>
      <c r="F101" s="14">
        <v>308.75</v>
      </c>
      <c r="G101" s="14">
        <v>307.625</v>
      </c>
      <c r="H101" s="14">
        <v>308</v>
      </c>
      <c r="I101" s="14">
        <v>309.75</v>
      </c>
      <c r="J101" s="14">
        <v>308</v>
      </c>
      <c r="K101" s="14">
        <v>309.625</v>
      </c>
      <c r="L101" s="14">
        <v>310.25</v>
      </c>
      <c r="M101" s="14">
        <v>309.25</v>
      </c>
      <c r="N101" s="14">
        <v>308.125</v>
      </c>
      <c r="O101" s="14">
        <v>309.25</v>
      </c>
      <c r="P101" s="14">
        <v>309.25</v>
      </c>
      <c r="Q101" s="14">
        <v>307.375</v>
      </c>
      <c r="R101" s="14">
        <v>310.625</v>
      </c>
      <c r="S101" s="14">
        <v>306</v>
      </c>
      <c r="T101" s="14">
        <v>307.875</v>
      </c>
      <c r="U101" s="14">
        <v>311.125</v>
      </c>
      <c r="V101" s="14">
        <v>309.625</v>
      </c>
      <c r="W101" s="14">
        <v>311.375</v>
      </c>
      <c r="X101" s="5">
        <f t="shared" si="2"/>
        <v>308.86250000000001</v>
      </c>
    </row>
    <row r="102" spans="1:24" x14ac:dyDescent="0.25">
      <c r="A102" s="14" t="s">
        <v>62</v>
      </c>
      <c r="B102" s="14" t="s">
        <v>42</v>
      </c>
      <c r="C102" s="14" t="s">
        <v>41</v>
      </c>
      <c r="D102" s="14">
        <v>311.25</v>
      </c>
      <c r="E102" s="14">
        <v>308</v>
      </c>
      <c r="F102" s="14">
        <v>306.375</v>
      </c>
      <c r="G102" s="14">
        <v>308.5</v>
      </c>
      <c r="H102" s="14">
        <v>307.25</v>
      </c>
      <c r="I102" s="14">
        <v>309.125</v>
      </c>
      <c r="J102" s="14">
        <v>306.375</v>
      </c>
      <c r="K102" s="14">
        <v>306.75</v>
      </c>
      <c r="L102" s="14">
        <v>308.125</v>
      </c>
      <c r="M102" s="14">
        <v>308.75</v>
      </c>
      <c r="N102" s="14">
        <v>308.125</v>
      </c>
      <c r="O102" s="14">
        <v>308.125</v>
      </c>
      <c r="P102" s="14">
        <v>310</v>
      </c>
      <c r="Q102" s="14">
        <v>310.25</v>
      </c>
      <c r="R102" s="14">
        <v>309.75</v>
      </c>
      <c r="S102" s="14">
        <v>310.75</v>
      </c>
      <c r="T102" s="14">
        <v>307.5</v>
      </c>
      <c r="U102" s="14">
        <v>308.5</v>
      </c>
      <c r="V102" s="14">
        <v>310.125</v>
      </c>
      <c r="W102" s="14">
        <v>309.25</v>
      </c>
      <c r="X102" s="5">
        <f t="shared" si="2"/>
        <v>308.64375000000001</v>
      </c>
    </row>
    <row r="103" spans="1:24" x14ac:dyDescent="0.25">
      <c r="A103" s="14" t="s">
        <v>63</v>
      </c>
      <c r="B103" s="14" t="s">
        <v>42</v>
      </c>
      <c r="C103" s="14" t="s">
        <v>41</v>
      </c>
      <c r="D103" s="14">
        <v>306.5</v>
      </c>
      <c r="E103" s="14">
        <v>308.5</v>
      </c>
      <c r="F103" s="14">
        <v>305.75</v>
      </c>
      <c r="G103" s="14">
        <v>306.625</v>
      </c>
      <c r="H103" s="14">
        <v>309.375</v>
      </c>
      <c r="I103" s="14">
        <v>309.25</v>
      </c>
      <c r="J103" s="14">
        <v>307.875</v>
      </c>
      <c r="K103" s="14">
        <v>307.375</v>
      </c>
      <c r="L103" s="14">
        <v>307.25</v>
      </c>
      <c r="M103" s="14">
        <v>307.375</v>
      </c>
      <c r="N103" s="14">
        <v>307.5</v>
      </c>
      <c r="O103" s="14">
        <v>308.125</v>
      </c>
      <c r="P103" s="14">
        <v>306.625</v>
      </c>
      <c r="Q103" s="14">
        <v>308.375</v>
      </c>
      <c r="R103" s="14">
        <v>309.625</v>
      </c>
      <c r="S103" s="14">
        <v>308.875</v>
      </c>
      <c r="T103" s="14">
        <v>306</v>
      </c>
      <c r="U103" s="14">
        <v>307.875</v>
      </c>
      <c r="V103" s="14">
        <v>307.625</v>
      </c>
      <c r="W103" s="14">
        <v>307</v>
      </c>
      <c r="X103" s="5">
        <f t="shared" si="2"/>
        <v>307.67500000000001</v>
      </c>
    </row>
    <row r="104" spans="1:24" x14ac:dyDescent="0.25">
      <c r="A104" s="14" t="s">
        <v>64</v>
      </c>
      <c r="B104" s="14" t="s">
        <v>42</v>
      </c>
      <c r="C104" s="14" t="s">
        <v>41</v>
      </c>
      <c r="D104" s="14">
        <v>307.375</v>
      </c>
      <c r="E104" s="14">
        <v>306.875</v>
      </c>
      <c r="F104" s="14">
        <v>306.5</v>
      </c>
      <c r="G104" s="14">
        <v>307.75</v>
      </c>
      <c r="H104" s="14">
        <v>308.75</v>
      </c>
      <c r="I104" s="14">
        <v>308.625</v>
      </c>
      <c r="J104" s="14">
        <v>305.875</v>
      </c>
      <c r="K104" s="14">
        <v>307.125</v>
      </c>
      <c r="L104" s="14">
        <v>306.75</v>
      </c>
      <c r="M104" s="14">
        <v>307.375</v>
      </c>
      <c r="N104" s="14">
        <v>308.125</v>
      </c>
      <c r="O104" s="14">
        <v>307.75</v>
      </c>
      <c r="P104" s="14">
        <v>306</v>
      </c>
      <c r="Q104" s="14">
        <v>305.375</v>
      </c>
      <c r="R104" s="14">
        <v>307.5</v>
      </c>
      <c r="S104" s="14">
        <v>306.5</v>
      </c>
      <c r="T104" s="14">
        <v>305.875</v>
      </c>
      <c r="U104" s="14">
        <v>305.25</v>
      </c>
      <c r="V104" s="14">
        <v>308</v>
      </c>
      <c r="W104" s="14">
        <v>307.25</v>
      </c>
      <c r="X104" s="5">
        <f t="shared" si="2"/>
        <v>307.03125</v>
      </c>
    </row>
    <row r="105" spans="1:24" x14ac:dyDescent="0.25">
      <c r="A105" s="14" t="s">
        <v>65</v>
      </c>
      <c r="B105" s="14" t="s">
        <v>42</v>
      </c>
      <c r="C105" s="14" t="s">
        <v>41</v>
      </c>
      <c r="D105" s="14">
        <v>307.75</v>
      </c>
      <c r="E105" s="14">
        <v>307.5</v>
      </c>
      <c r="F105" s="14">
        <v>307.125</v>
      </c>
      <c r="G105" s="14">
        <v>305.25</v>
      </c>
      <c r="H105" s="14">
        <v>306.375</v>
      </c>
      <c r="I105" s="14">
        <v>307.375</v>
      </c>
      <c r="J105" s="14">
        <v>305.75</v>
      </c>
      <c r="K105" s="14">
        <v>306</v>
      </c>
      <c r="L105" s="14">
        <v>308.25</v>
      </c>
      <c r="M105" s="14">
        <v>307</v>
      </c>
      <c r="N105" s="14">
        <v>305.875</v>
      </c>
      <c r="O105" s="14">
        <v>307.875</v>
      </c>
      <c r="P105" s="14">
        <v>306</v>
      </c>
      <c r="Q105" s="14">
        <v>307</v>
      </c>
      <c r="R105" s="14">
        <v>306.625</v>
      </c>
      <c r="S105" s="14">
        <v>306.5</v>
      </c>
      <c r="T105" s="14">
        <v>306.125</v>
      </c>
      <c r="U105" s="14">
        <v>307</v>
      </c>
      <c r="V105" s="14">
        <v>305</v>
      </c>
      <c r="W105" s="14">
        <v>305.875</v>
      </c>
      <c r="X105" s="5">
        <f t="shared" si="2"/>
        <v>306.61250000000001</v>
      </c>
    </row>
    <row r="106" spans="1:24" x14ac:dyDescent="0.25">
      <c r="A106" s="14" t="s">
        <v>66</v>
      </c>
      <c r="B106" s="14" t="s">
        <v>42</v>
      </c>
      <c r="C106" s="14" t="s">
        <v>41</v>
      </c>
      <c r="D106" s="14">
        <v>306.5</v>
      </c>
      <c r="E106" s="14">
        <v>305.5</v>
      </c>
      <c r="F106" s="14">
        <v>307</v>
      </c>
      <c r="G106" s="14">
        <v>305.625</v>
      </c>
      <c r="H106" s="14">
        <v>304</v>
      </c>
      <c r="I106" s="14">
        <v>308.25</v>
      </c>
      <c r="J106" s="14">
        <v>305.5</v>
      </c>
      <c r="K106" s="14">
        <v>304.875</v>
      </c>
      <c r="L106" s="14">
        <v>304.5</v>
      </c>
      <c r="M106" s="14">
        <v>307.75</v>
      </c>
      <c r="N106" s="14">
        <v>304.75</v>
      </c>
      <c r="O106" s="14">
        <v>306.875</v>
      </c>
      <c r="P106" s="14">
        <v>305.375</v>
      </c>
      <c r="Q106" s="14">
        <v>306.5</v>
      </c>
      <c r="R106" s="14">
        <v>306.875</v>
      </c>
      <c r="S106" s="14">
        <v>303.375</v>
      </c>
      <c r="T106" s="14">
        <v>305.25</v>
      </c>
      <c r="U106" s="14">
        <v>305.5</v>
      </c>
      <c r="V106" s="14">
        <v>307.375</v>
      </c>
      <c r="W106" s="14">
        <v>307.5</v>
      </c>
      <c r="X106" s="5">
        <f t="shared" si="2"/>
        <v>305.94375000000002</v>
      </c>
    </row>
    <row r="107" spans="1:24" x14ac:dyDescent="0.25">
      <c r="A107" s="14" t="s">
        <v>67</v>
      </c>
      <c r="B107" s="14" t="s">
        <v>42</v>
      </c>
      <c r="C107" s="14" t="s">
        <v>41</v>
      </c>
      <c r="D107" s="14">
        <v>304.625</v>
      </c>
      <c r="E107" s="14">
        <v>304</v>
      </c>
      <c r="F107" s="14">
        <v>305.5</v>
      </c>
      <c r="G107" s="14">
        <v>305.75</v>
      </c>
      <c r="H107" s="14">
        <v>303.625</v>
      </c>
      <c r="I107" s="14">
        <v>303.75</v>
      </c>
      <c r="J107" s="14">
        <v>305.75</v>
      </c>
      <c r="K107" s="14">
        <v>306.5</v>
      </c>
      <c r="L107" s="14">
        <v>308.75</v>
      </c>
      <c r="M107" s="14">
        <v>304.125</v>
      </c>
      <c r="N107" s="14">
        <v>302.25</v>
      </c>
      <c r="O107" s="14">
        <v>305.375</v>
      </c>
      <c r="P107" s="14">
        <v>306.375</v>
      </c>
      <c r="Q107" s="14">
        <v>306.5</v>
      </c>
      <c r="R107" s="14">
        <v>306</v>
      </c>
      <c r="S107" s="14">
        <v>304.75</v>
      </c>
      <c r="T107" s="14">
        <v>307.25</v>
      </c>
      <c r="U107" s="14">
        <v>304.5</v>
      </c>
      <c r="V107" s="14">
        <v>304.5</v>
      </c>
      <c r="W107" s="14">
        <v>306.25</v>
      </c>
      <c r="X107" s="5">
        <f t="shared" si="2"/>
        <v>305.30624999999998</v>
      </c>
    </row>
    <row r="108" spans="1:24" x14ac:dyDescent="0.25">
      <c r="A108" s="14" t="s">
        <v>68</v>
      </c>
      <c r="B108" s="14" t="s">
        <v>42</v>
      </c>
      <c r="C108" s="14" t="s">
        <v>41</v>
      </c>
      <c r="D108" s="14">
        <v>305.5</v>
      </c>
      <c r="E108" s="14">
        <v>305.125</v>
      </c>
      <c r="F108" s="14">
        <v>304.625</v>
      </c>
      <c r="G108" s="14">
        <v>305</v>
      </c>
      <c r="H108" s="14">
        <v>304.125</v>
      </c>
      <c r="I108" s="14">
        <v>306.125</v>
      </c>
      <c r="J108" s="14">
        <v>302.375</v>
      </c>
      <c r="K108" s="14">
        <v>304.625</v>
      </c>
      <c r="L108" s="14">
        <v>304.75</v>
      </c>
      <c r="M108" s="14">
        <v>303.625</v>
      </c>
      <c r="N108" s="14">
        <v>303.25</v>
      </c>
      <c r="O108" s="14">
        <v>304.5</v>
      </c>
      <c r="P108" s="14">
        <v>303.375</v>
      </c>
      <c r="Q108" s="14">
        <v>305.75</v>
      </c>
      <c r="R108" s="14">
        <v>305.5</v>
      </c>
      <c r="S108" s="14">
        <v>304.25</v>
      </c>
      <c r="T108" s="14">
        <v>303.75</v>
      </c>
      <c r="U108" s="14">
        <v>303.5</v>
      </c>
      <c r="V108" s="14">
        <v>305.75</v>
      </c>
      <c r="W108" s="14">
        <v>304</v>
      </c>
      <c r="X108" s="5">
        <f t="shared" si="2"/>
        <v>304.47500000000002</v>
      </c>
    </row>
    <row r="109" spans="1:24" x14ac:dyDescent="0.25">
      <c r="A109" s="14" t="s">
        <v>69</v>
      </c>
      <c r="B109" s="14" t="s">
        <v>42</v>
      </c>
      <c r="C109" s="14" t="s">
        <v>41</v>
      </c>
      <c r="D109" s="14">
        <v>303.75</v>
      </c>
      <c r="E109" s="14">
        <v>303.25</v>
      </c>
      <c r="F109" s="14">
        <v>302</v>
      </c>
      <c r="G109" s="14">
        <v>304.625</v>
      </c>
      <c r="H109" s="14">
        <v>303.25</v>
      </c>
      <c r="I109" s="14">
        <v>305.375</v>
      </c>
      <c r="J109" s="14">
        <v>303.75</v>
      </c>
      <c r="K109" s="14">
        <v>305.25</v>
      </c>
      <c r="L109" s="14">
        <v>304</v>
      </c>
      <c r="M109" s="14">
        <v>305.375</v>
      </c>
      <c r="N109" s="14">
        <v>304</v>
      </c>
      <c r="O109" s="14">
        <v>303</v>
      </c>
      <c r="P109" s="14">
        <v>305.25</v>
      </c>
      <c r="Q109" s="14">
        <v>305.75</v>
      </c>
      <c r="R109" s="14">
        <v>304.375</v>
      </c>
      <c r="S109" s="14">
        <v>305.75</v>
      </c>
      <c r="T109" s="14">
        <v>304.875</v>
      </c>
      <c r="U109" s="14">
        <v>302.625</v>
      </c>
      <c r="V109" s="14">
        <v>302.875</v>
      </c>
      <c r="W109" s="14">
        <v>304.125</v>
      </c>
      <c r="X109" s="5">
        <f t="shared" si="2"/>
        <v>304.16250000000002</v>
      </c>
    </row>
    <row r="110" spans="1:24" x14ac:dyDescent="0.25">
      <c r="A110" s="14" t="s">
        <v>70</v>
      </c>
      <c r="B110" s="14" t="s">
        <v>42</v>
      </c>
      <c r="C110" s="14" t="s">
        <v>41</v>
      </c>
      <c r="D110" s="14">
        <v>303</v>
      </c>
      <c r="E110" s="14">
        <v>305</v>
      </c>
      <c r="F110" s="14">
        <v>303.25</v>
      </c>
      <c r="G110" s="14">
        <v>306.5</v>
      </c>
      <c r="H110" s="14">
        <v>305</v>
      </c>
      <c r="I110" s="14">
        <v>304.625</v>
      </c>
      <c r="J110" s="14">
        <v>304.25</v>
      </c>
      <c r="K110" s="14">
        <v>302.875</v>
      </c>
      <c r="L110" s="14">
        <v>303</v>
      </c>
      <c r="M110" s="14">
        <v>302</v>
      </c>
      <c r="N110" s="14">
        <v>302.375</v>
      </c>
      <c r="O110" s="14">
        <v>303.25</v>
      </c>
      <c r="P110" s="14">
        <v>305.375</v>
      </c>
      <c r="Q110" s="14">
        <v>306.375</v>
      </c>
      <c r="R110" s="14">
        <v>304.25</v>
      </c>
      <c r="S110" s="14">
        <v>305.75</v>
      </c>
      <c r="T110" s="14">
        <v>304.375</v>
      </c>
      <c r="U110" s="14">
        <v>304.125</v>
      </c>
      <c r="V110" s="14">
        <v>303.75</v>
      </c>
      <c r="W110" s="14">
        <v>306.125</v>
      </c>
      <c r="X110" s="5">
        <f t="shared" si="2"/>
        <v>304.26249999999999</v>
      </c>
    </row>
    <row r="111" spans="1:24" x14ac:dyDescent="0.25">
      <c r="A111" s="14" t="s">
        <v>71</v>
      </c>
      <c r="B111" s="14" t="s">
        <v>42</v>
      </c>
      <c r="C111" s="14" t="s">
        <v>41</v>
      </c>
      <c r="D111" s="14">
        <v>303.375</v>
      </c>
      <c r="E111" s="14">
        <v>303.25</v>
      </c>
      <c r="F111" s="14">
        <v>302.75</v>
      </c>
      <c r="G111" s="14">
        <v>303</v>
      </c>
      <c r="H111" s="14">
        <v>302.5</v>
      </c>
      <c r="I111" s="14">
        <v>301.625</v>
      </c>
      <c r="J111" s="14">
        <v>302.5</v>
      </c>
      <c r="K111" s="14">
        <v>306</v>
      </c>
      <c r="L111" s="14">
        <v>303.875</v>
      </c>
      <c r="M111" s="14">
        <v>306.5</v>
      </c>
      <c r="N111" s="14">
        <v>302.125</v>
      </c>
      <c r="O111" s="14">
        <v>304.25</v>
      </c>
      <c r="P111" s="14">
        <v>303.5</v>
      </c>
      <c r="Q111" s="14">
        <v>302.25</v>
      </c>
      <c r="R111" s="14">
        <v>302.75</v>
      </c>
      <c r="S111" s="14">
        <v>303.625</v>
      </c>
      <c r="T111" s="14">
        <v>303.75</v>
      </c>
      <c r="U111" s="14">
        <v>304</v>
      </c>
      <c r="V111" s="14">
        <v>302</v>
      </c>
      <c r="W111" s="14">
        <v>303.75</v>
      </c>
      <c r="X111" s="5">
        <f t="shared" si="2"/>
        <v>303.36874999999998</v>
      </c>
    </row>
    <row r="112" spans="1:24" x14ac:dyDescent="0.25">
      <c r="A112" s="14" t="s">
        <v>72</v>
      </c>
      <c r="B112" s="14" t="s">
        <v>42</v>
      </c>
      <c r="C112" s="14" t="s">
        <v>41</v>
      </c>
      <c r="D112" s="14">
        <v>304</v>
      </c>
      <c r="E112" s="14">
        <v>305.875</v>
      </c>
      <c r="F112" s="14">
        <v>302.625</v>
      </c>
      <c r="G112" s="14">
        <v>302</v>
      </c>
      <c r="H112" s="14">
        <v>303.375</v>
      </c>
      <c r="I112" s="14">
        <v>301.625</v>
      </c>
      <c r="J112" s="14">
        <v>303.5</v>
      </c>
      <c r="K112" s="14">
        <v>303</v>
      </c>
      <c r="L112" s="14">
        <v>305</v>
      </c>
      <c r="M112" s="14">
        <v>302.25</v>
      </c>
      <c r="N112" s="14">
        <v>305</v>
      </c>
      <c r="O112" s="14">
        <v>305.125</v>
      </c>
      <c r="P112" s="14">
        <v>303.25</v>
      </c>
      <c r="Q112" s="14">
        <v>302.875</v>
      </c>
      <c r="R112" s="14">
        <v>305.125</v>
      </c>
      <c r="S112" s="14">
        <v>302.125</v>
      </c>
      <c r="T112" s="14">
        <v>303.75</v>
      </c>
      <c r="U112" s="14">
        <v>303.5</v>
      </c>
      <c r="V112" s="14">
        <v>305.875</v>
      </c>
      <c r="W112" s="14">
        <v>302.25</v>
      </c>
      <c r="X112" s="5">
        <f t="shared" si="2"/>
        <v>303.60624999999999</v>
      </c>
    </row>
    <row r="113" spans="1:24" x14ac:dyDescent="0.25">
      <c r="A113" s="14" t="s">
        <v>73</v>
      </c>
      <c r="B113" s="14" t="s">
        <v>42</v>
      </c>
      <c r="C113" s="14" t="s">
        <v>41</v>
      </c>
      <c r="D113" s="14">
        <v>305.875</v>
      </c>
      <c r="E113" s="14">
        <v>301.625</v>
      </c>
      <c r="F113" s="14">
        <v>302</v>
      </c>
      <c r="G113" s="14">
        <v>303.75</v>
      </c>
      <c r="H113" s="14">
        <v>303.875</v>
      </c>
      <c r="I113" s="14">
        <v>298.375</v>
      </c>
      <c r="J113" s="14">
        <v>305.125</v>
      </c>
      <c r="K113" s="14">
        <v>303.25</v>
      </c>
      <c r="L113" s="14">
        <v>304.75</v>
      </c>
      <c r="M113" s="14">
        <v>304.5</v>
      </c>
      <c r="N113" s="14">
        <v>303.875</v>
      </c>
      <c r="O113" s="14">
        <v>302.625</v>
      </c>
      <c r="P113" s="14">
        <v>306.25</v>
      </c>
      <c r="Q113" s="14">
        <v>304</v>
      </c>
      <c r="R113" s="14">
        <v>303.875</v>
      </c>
      <c r="S113" s="14">
        <v>301.75</v>
      </c>
      <c r="T113" s="14">
        <v>305.25</v>
      </c>
      <c r="U113" s="14">
        <v>302.25</v>
      </c>
      <c r="V113" s="14">
        <v>304.25</v>
      </c>
      <c r="W113" s="14">
        <v>303.75</v>
      </c>
      <c r="X113" s="5">
        <f t="shared" si="2"/>
        <v>303.55</v>
      </c>
    </row>
    <row r="114" spans="1:24" x14ac:dyDescent="0.25">
      <c r="A114" s="14" t="s">
        <v>74</v>
      </c>
      <c r="B114" s="14" t="s">
        <v>42</v>
      </c>
      <c r="C114" s="14" t="s">
        <v>41</v>
      </c>
      <c r="D114" s="14">
        <v>303.25</v>
      </c>
      <c r="E114" s="14">
        <v>302.875</v>
      </c>
      <c r="F114" s="14">
        <v>305.375</v>
      </c>
      <c r="G114" s="14">
        <v>305.625</v>
      </c>
      <c r="H114" s="14">
        <v>304.25</v>
      </c>
      <c r="I114" s="14">
        <v>305.125</v>
      </c>
      <c r="J114" s="14">
        <v>303.375</v>
      </c>
      <c r="K114" s="14">
        <v>302</v>
      </c>
      <c r="L114" s="14">
        <v>300.625</v>
      </c>
      <c r="M114" s="14">
        <v>300.375</v>
      </c>
      <c r="N114" s="14">
        <v>302.125</v>
      </c>
      <c r="O114" s="14">
        <v>305.625</v>
      </c>
      <c r="P114" s="14">
        <v>304.75</v>
      </c>
      <c r="Q114" s="14">
        <v>303.625</v>
      </c>
      <c r="R114" s="14">
        <v>304.125</v>
      </c>
      <c r="S114" s="14">
        <v>303.625</v>
      </c>
      <c r="T114" s="14">
        <v>304.75</v>
      </c>
      <c r="U114" s="14">
        <v>303.375</v>
      </c>
      <c r="V114" s="14">
        <v>303.125</v>
      </c>
      <c r="W114" s="14">
        <v>304.25</v>
      </c>
      <c r="X114" s="5">
        <f t="shared" si="2"/>
        <v>303.61250000000001</v>
      </c>
    </row>
    <row r="115" spans="1:24" x14ac:dyDescent="0.25">
      <c r="A115" s="14" t="s">
        <v>75</v>
      </c>
      <c r="B115" s="14" t="s">
        <v>42</v>
      </c>
      <c r="C115" s="14" t="s">
        <v>41</v>
      </c>
      <c r="D115" s="14">
        <v>301.25</v>
      </c>
      <c r="E115" s="14">
        <v>301</v>
      </c>
      <c r="F115" s="14">
        <v>302.125</v>
      </c>
      <c r="G115" s="14">
        <v>303.25</v>
      </c>
      <c r="H115" s="14">
        <v>303.25</v>
      </c>
      <c r="I115" s="14">
        <v>303.5</v>
      </c>
      <c r="J115" s="14">
        <v>301.875</v>
      </c>
      <c r="K115" s="14">
        <v>303.625</v>
      </c>
      <c r="L115" s="14">
        <v>302.75</v>
      </c>
      <c r="M115" s="14">
        <v>302.5</v>
      </c>
      <c r="N115" s="14">
        <v>302.875</v>
      </c>
      <c r="O115" s="14">
        <v>302.375</v>
      </c>
      <c r="P115" s="14">
        <v>304</v>
      </c>
      <c r="Q115" s="14">
        <v>301.375</v>
      </c>
      <c r="R115" s="14">
        <v>303</v>
      </c>
      <c r="S115" s="14">
        <v>301.75</v>
      </c>
      <c r="T115" s="14">
        <v>302.375</v>
      </c>
      <c r="U115" s="14">
        <v>302.125</v>
      </c>
      <c r="V115" s="14">
        <v>302.875</v>
      </c>
      <c r="W115" s="14">
        <v>303.375</v>
      </c>
      <c r="X115" s="5">
        <f t="shared" si="2"/>
        <v>302.5625</v>
      </c>
    </row>
    <row r="116" spans="1:24" x14ac:dyDescent="0.25">
      <c r="A116" s="14" t="s">
        <v>76</v>
      </c>
      <c r="B116" s="14" t="s">
        <v>42</v>
      </c>
      <c r="C116" s="14" t="s">
        <v>41</v>
      </c>
      <c r="D116" s="14">
        <v>302.875</v>
      </c>
      <c r="E116" s="14">
        <v>303.875</v>
      </c>
      <c r="F116" s="14">
        <v>302.875</v>
      </c>
      <c r="G116" s="14">
        <v>302.375</v>
      </c>
      <c r="H116" s="14">
        <v>303.25</v>
      </c>
      <c r="I116" s="14">
        <v>301.875</v>
      </c>
      <c r="J116" s="14">
        <v>303</v>
      </c>
      <c r="K116" s="14">
        <v>303.25</v>
      </c>
      <c r="L116" s="14">
        <v>303.375</v>
      </c>
      <c r="M116" s="14">
        <v>303</v>
      </c>
      <c r="N116" s="14">
        <v>303</v>
      </c>
      <c r="O116" s="14">
        <v>304.25</v>
      </c>
      <c r="P116" s="14">
        <v>303.875</v>
      </c>
      <c r="Q116" s="14">
        <v>303.25</v>
      </c>
      <c r="R116" s="14">
        <v>301.75</v>
      </c>
      <c r="S116" s="14">
        <v>302.75</v>
      </c>
      <c r="T116" s="14">
        <v>301</v>
      </c>
      <c r="U116" s="14">
        <v>301.375</v>
      </c>
      <c r="V116" s="14">
        <v>303</v>
      </c>
      <c r="W116" s="14">
        <v>305</v>
      </c>
      <c r="X116" s="5">
        <f t="shared" si="2"/>
        <v>302.95</v>
      </c>
    </row>
    <row r="117" spans="1:24" x14ac:dyDescent="0.25">
      <c r="X117" s="5">
        <f>AVERAGE(X98:X116)</f>
        <v>305.89309210526312</v>
      </c>
    </row>
    <row r="122" spans="1:24" x14ac:dyDescent="0.25">
      <c r="A122" s="22" t="s">
        <v>38</v>
      </c>
      <c r="B122" s="22" t="s">
        <v>42</v>
      </c>
      <c r="C122" s="22" t="s">
        <v>40</v>
      </c>
      <c r="D122" s="22">
        <v>426.125</v>
      </c>
      <c r="E122" s="22">
        <v>424.625</v>
      </c>
      <c r="F122" s="22">
        <v>425</v>
      </c>
      <c r="G122" s="22">
        <v>421.25</v>
      </c>
      <c r="H122" s="22">
        <v>429.625</v>
      </c>
      <c r="I122" s="22">
        <v>424.75</v>
      </c>
      <c r="J122" s="22">
        <v>422.875</v>
      </c>
      <c r="K122" s="22">
        <v>424.5</v>
      </c>
      <c r="L122" s="22">
        <v>426.125</v>
      </c>
      <c r="M122" s="22">
        <v>423</v>
      </c>
      <c r="N122" s="22">
        <v>427.125</v>
      </c>
      <c r="O122" s="22">
        <v>427.25</v>
      </c>
      <c r="P122" s="22">
        <v>425</v>
      </c>
      <c r="Q122" s="22">
        <v>424.625</v>
      </c>
      <c r="R122" s="22">
        <v>424.375</v>
      </c>
      <c r="S122" s="22">
        <v>425.125</v>
      </c>
      <c r="T122" s="22">
        <v>421.875</v>
      </c>
      <c r="U122" s="22">
        <v>422.5</v>
      </c>
      <c r="V122" s="22">
        <v>422.5</v>
      </c>
      <c r="W122" s="22">
        <v>424</v>
      </c>
      <c r="X122" s="21">
        <f t="shared" ref="X122:X156" si="3">AVERAGE(D122:W122)</f>
        <v>424.61250000000001</v>
      </c>
    </row>
    <row r="123" spans="1:24" x14ac:dyDescent="0.25">
      <c r="A123" s="22" t="s">
        <v>43</v>
      </c>
      <c r="B123" s="22" t="s">
        <v>42</v>
      </c>
      <c r="C123" s="22" t="s">
        <v>40</v>
      </c>
      <c r="D123" s="22">
        <v>401.875</v>
      </c>
      <c r="E123" s="22">
        <v>401</v>
      </c>
      <c r="F123" s="22">
        <v>400.625</v>
      </c>
      <c r="G123" s="22">
        <v>400.5</v>
      </c>
      <c r="H123" s="22">
        <v>399.125</v>
      </c>
      <c r="I123" s="22">
        <v>401.25</v>
      </c>
      <c r="J123" s="22">
        <v>401.25</v>
      </c>
      <c r="K123" s="22">
        <v>398</v>
      </c>
      <c r="L123" s="22">
        <v>396.625</v>
      </c>
      <c r="M123" s="22">
        <v>397.375</v>
      </c>
      <c r="N123" s="22">
        <v>400</v>
      </c>
      <c r="O123" s="22">
        <v>400.125</v>
      </c>
      <c r="P123" s="22">
        <v>399.875</v>
      </c>
      <c r="Q123" s="22">
        <v>395.875</v>
      </c>
      <c r="R123" s="22">
        <v>395.125</v>
      </c>
      <c r="S123" s="22">
        <v>396.75</v>
      </c>
      <c r="T123" s="22">
        <v>396.125</v>
      </c>
      <c r="U123" s="22">
        <v>396.625</v>
      </c>
      <c r="V123" s="22">
        <v>397.75</v>
      </c>
      <c r="W123" s="22">
        <v>398.625</v>
      </c>
      <c r="X123" s="21">
        <f t="shared" si="3"/>
        <v>398.72500000000002</v>
      </c>
    </row>
    <row r="124" spans="1:24" x14ac:dyDescent="0.25">
      <c r="A124" s="22" t="s">
        <v>44</v>
      </c>
      <c r="B124" s="22" t="s">
        <v>42</v>
      </c>
      <c r="C124" s="22" t="s">
        <v>40</v>
      </c>
      <c r="D124" s="22">
        <v>387.75</v>
      </c>
      <c r="E124" s="22">
        <v>386.5</v>
      </c>
      <c r="F124" s="22">
        <v>388.5</v>
      </c>
      <c r="G124" s="22">
        <v>387.625</v>
      </c>
      <c r="H124" s="22">
        <v>387.625</v>
      </c>
      <c r="I124" s="22">
        <v>386</v>
      </c>
      <c r="J124" s="22">
        <v>385.375</v>
      </c>
      <c r="K124" s="22">
        <v>387</v>
      </c>
      <c r="L124" s="22">
        <v>384.5</v>
      </c>
      <c r="M124" s="22">
        <v>382.375</v>
      </c>
      <c r="N124" s="22">
        <v>385.75</v>
      </c>
      <c r="O124" s="22">
        <v>385.375</v>
      </c>
      <c r="P124" s="22">
        <v>381.875</v>
      </c>
      <c r="Q124" s="22">
        <v>384.875</v>
      </c>
      <c r="R124" s="22">
        <v>383.125</v>
      </c>
      <c r="S124" s="22">
        <v>385.125</v>
      </c>
      <c r="T124" s="22">
        <v>384.125</v>
      </c>
      <c r="U124" s="22">
        <v>383.625</v>
      </c>
      <c r="V124" s="22">
        <v>384.5</v>
      </c>
      <c r="W124" s="22">
        <v>384.875</v>
      </c>
      <c r="X124" s="21">
        <f t="shared" si="3"/>
        <v>385.32499999999999</v>
      </c>
    </row>
    <row r="125" spans="1:24" x14ac:dyDescent="0.25">
      <c r="A125" s="22" t="s">
        <v>45</v>
      </c>
      <c r="B125" s="22" t="s">
        <v>42</v>
      </c>
      <c r="C125" s="22" t="s">
        <v>40</v>
      </c>
      <c r="D125" s="22">
        <v>378.375</v>
      </c>
      <c r="E125" s="22">
        <v>376.75</v>
      </c>
      <c r="F125" s="22">
        <v>380.375</v>
      </c>
      <c r="G125" s="22">
        <v>378.375</v>
      </c>
      <c r="H125" s="22">
        <v>376.875</v>
      </c>
      <c r="I125" s="22">
        <v>379.125</v>
      </c>
      <c r="J125" s="22">
        <v>378.625</v>
      </c>
      <c r="K125" s="22">
        <v>377.5</v>
      </c>
      <c r="L125" s="22">
        <v>377.875</v>
      </c>
      <c r="M125" s="22">
        <v>376.125</v>
      </c>
      <c r="N125" s="22">
        <v>377</v>
      </c>
      <c r="O125" s="22">
        <v>376.375</v>
      </c>
      <c r="P125" s="22">
        <v>376.25</v>
      </c>
      <c r="Q125" s="22">
        <v>376.25</v>
      </c>
      <c r="R125" s="22">
        <v>378.5</v>
      </c>
      <c r="S125" s="22">
        <v>378.25</v>
      </c>
      <c r="T125" s="22">
        <v>374.875</v>
      </c>
      <c r="U125" s="22">
        <v>375.625</v>
      </c>
      <c r="V125" s="22">
        <v>373.625</v>
      </c>
      <c r="W125" s="22">
        <v>373.375</v>
      </c>
      <c r="X125" s="21">
        <f t="shared" si="3"/>
        <v>377.00625000000002</v>
      </c>
    </row>
    <row r="126" spans="1:24" x14ac:dyDescent="0.25">
      <c r="A126" s="22" t="s">
        <v>46</v>
      </c>
      <c r="B126" s="22" t="s">
        <v>42</v>
      </c>
      <c r="C126" s="22" t="s">
        <v>40</v>
      </c>
      <c r="D126" s="22">
        <v>376.125</v>
      </c>
      <c r="E126" s="22">
        <v>374.625</v>
      </c>
      <c r="F126" s="22">
        <v>373.5</v>
      </c>
      <c r="G126" s="22">
        <v>371.875</v>
      </c>
      <c r="H126" s="22">
        <v>372.625</v>
      </c>
      <c r="I126" s="22">
        <v>372.5</v>
      </c>
      <c r="J126" s="22">
        <v>371.875</v>
      </c>
      <c r="K126" s="22">
        <v>373.125</v>
      </c>
      <c r="L126" s="22">
        <v>370.75</v>
      </c>
      <c r="M126" s="22">
        <v>372.5</v>
      </c>
      <c r="N126" s="22">
        <v>369.75</v>
      </c>
      <c r="O126" s="22">
        <v>370.875</v>
      </c>
      <c r="P126" s="22">
        <v>370.625</v>
      </c>
      <c r="Q126" s="22">
        <v>370.625</v>
      </c>
      <c r="R126" s="22">
        <v>369.5</v>
      </c>
      <c r="S126" s="22">
        <v>370</v>
      </c>
      <c r="T126" s="22">
        <v>370.375</v>
      </c>
      <c r="U126" s="22">
        <v>369.125</v>
      </c>
      <c r="V126" s="22">
        <v>367.75</v>
      </c>
      <c r="W126" s="22">
        <v>369</v>
      </c>
      <c r="X126" s="21">
        <f t="shared" si="3"/>
        <v>371.35624999999999</v>
      </c>
    </row>
    <row r="127" spans="1:24" x14ac:dyDescent="0.25">
      <c r="A127" s="22" t="s">
        <v>47</v>
      </c>
      <c r="B127" s="22" t="s">
        <v>42</v>
      </c>
      <c r="C127" s="22" t="s">
        <v>40</v>
      </c>
      <c r="D127" s="22">
        <v>371</v>
      </c>
      <c r="E127" s="22">
        <v>368</v>
      </c>
      <c r="F127" s="22">
        <v>369.25</v>
      </c>
      <c r="G127" s="22">
        <v>369.125</v>
      </c>
      <c r="H127" s="22">
        <v>369</v>
      </c>
      <c r="I127" s="22">
        <v>368.25</v>
      </c>
      <c r="J127" s="22">
        <v>367.875</v>
      </c>
      <c r="K127" s="22">
        <v>367.875</v>
      </c>
      <c r="L127" s="22">
        <v>366.75</v>
      </c>
      <c r="M127" s="22">
        <v>366.875</v>
      </c>
      <c r="N127" s="22">
        <v>365.5</v>
      </c>
      <c r="O127" s="22">
        <v>367.75</v>
      </c>
      <c r="P127" s="22">
        <v>366.625</v>
      </c>
      <c r="Q127" s="22">
        <v>366.75</v>
      </c>
      <c r="R127" s="22">
        <v>367.25</v>
      </c>
      <c r="S127" s="22">
        <v>368.75</v>
      </c>
      <c r="T127" s="22">
        <v>368.375</v>
      </c>
      <c r="U127" s="22">
        <v>366.375</v>
      </c>
      <c r="V127" s="22">
        <v>365.625</v>
      </c>
      <c r="W127" s="22">
        <v>363</v>
      </c>
      <c r="X127" s="21">
        <f t="shared" si="3"/>
        <v>367.5</v>
      </c>
    </row>
    <row r="128" spans="1:24" x14ac:dyDescent="0.25">
      <c r="A128" s="22" t="s">
        <v>48</v>
      </c>
      <c r="B128" s="22" t="s">
        <v>42</v>
      </c>
      <c r="C128" s="22" t="s">
        <v>40</v>
      </c>
      <c r="D128" s="22">
        <v>366.375</v>
      </c>
      <c r="E128" s="22">
        <v>368.125</v>
      </c>
      <c r="F128" s="22">
        <v>367.875</v>
      </c>
      <c r="G128" s="22">
        <v>367.25</v>
      </c>
      <c r="H128" s="22">
        <v>369.25</v>
      </c>
      <c r="I128" s="22">
        <v>368.625</v>
      </c>
      <c r="J128" s="22">
        <v>367.375</v>
      </c>
      <c r="K128" s="22">
        <v>367.375</v>
      </c>
      <c r="L128" s="22">
        <v>367.5</v>
      </c>
      <c r="M128" s="22">
        <v>366</v>
      </c>
      <c r="N128" s="22">
        <v>365.75</v>
      </c>
      <c r="O128" s="22">
        <v>365.125</v>
      </c>
      <c r="P128" s="22">
        <v>366</v>
      </c>
      <c r="Q128" s="22">
        <v>365.875</v>
      </c>
      <c r="R128" s="22">
        <v>367.25</v>
      </c>
      <c r="S128" s="22">
        <v>364.625</v>
      </c>
      <c r="T128" s="22">
        <v>363</v>
      </c>
      <c r="U128" s="22">
        <v>365.75</v>
      </c>
      <c r="V128" s="22">
        <v>366.875</v>
      </c>
      <c r="W128" s="22">
        <v>365.5</v>
      </c>
      <c r="X128" s="21">
        <f t="shared" si="3"/>
        <v>366.57499999999999</v>
      </c>
    </row>
    <row r="129" spans="1:24" x14ac:dyDescent="0.25">
      <c r="A129" s="22" t="s">
        <v>49</v>
      </c>
      <c r="B129" s="22" t="s">
        <v>42</v>
      </c>
      <c r="C129" s="22" t="s">
        <v>40</v>
      </c>
      <c r="D129" s="22">
        <v>366.375</v>
      </c>
      <c r="E129" s="22">
        <v>364.125</v>
      </c>
      <c r="F129" s="22">
        <v>366.375</v>
      </c>
      <c r="G129" s="22">
        <v>366.125</v>
      </c>
      <c r="H129" s="22">
        <v>363.375</v>
      </c>
      <c r="I129" s="22">
        <v>364.5</v>
      </c>
      <c r="J129" s="22">
        <v>363</v>
      </c>
      <c r="K129" s="22">
        <v>365.125</v>
      </c>
      <c r="L129" s="22">
        <v>364.125</v>
      </c>
      <c r="M129" s="22">
        <v>360.875</v>
      </c>
      <c r="N129" s="22">
        <v>363.75</v>
      </c>
      <c r="O129" s="22">
        <v>359.875</v>
      </c>
      <c r="P129" s="22">
        <v>364.75</v>
      </c>
      <c r="Q129" s="22">
        <v>361.125</v>
      </c>
      <c r="R129" s="22">
        <v>362.625</v>
      </c>
      <c r="S129" s="22">
        <v>362.125</v>
      </c>
      <c r="T129" s="22">
        <v>359.75</v>
      </c>
      <c r="U129" s="22">
        <v>362.125</v>
      </c>
      <c r="V129" s="22">
        <v>358.375</v>
      </c>
      <c r="W129" s="22">
        <v>358.25</v>
      </c>
      <c r="X129" s="21">
        <f t="shared" si="3"/>
        <v>362.83749999999998</v>
      </c>
    </row>
    <row r="130" spans="1:24" x14ac:dyDescent="0.25">
      <c r="A130" s="22" t="s">
        <v>50</v>
      </c>
      <c r="B130" s="22" t="s">
        <v>42</v>
      </c>
      <c r="C130" s="22" t="s">
        <v>40</v>
      </c>
      <c r="D130" s="22">
        <v>364.125</v>
      </c>
      <c r="E130" s="22">
        <v>365</v>
      </c>
      <c r="F130" s="22">
        <v>365.625</v>
      </c>
      <c r="G130" s="22">
        <v>363.75</v>
      </c>
      <c r="H130" s="22">
        <v>363.875</v>
      </c>
      <c r="I130" s="22">
        <v>362.625</v>
      </c>
      <c r="J130" s="22">
        <v>363.375</v>
      </c>
      <c r="K130" s="22">
        <v>361.5</v>
      </c>
      <c r="L130" s="22">
        <v>361.875</v>
      </c>
      <c r="M130" s="22">
        <v>360.875</v>
      </c>
      <c r="N130" s="22">
        <v>360</v>
      </c>
      <c r="O130" s="22">
        <v>361.125</v>
      </c>
      <c r="P130" s="22">
        <v>358.75</v>
      </c>
      <c r="Q130" s="22">
        <v>358.5</v>
      </c>
      <c r="R130" s="22">
        <v>357.125</v>
      </c>
      <c r="S130" s="22">
        <v>357.625</v>
      </c>
      <c r="T130" s="22">
        <v>358.875</v>
      </c>
      <c r="U130" s="22">
        <v>359.125</v>
      </c>
      <c r="V130" s="22">
        <v>358.375</v>
      </c>
      <c r="W130" s="22">
        <v>355.875</v>
      </c>
      <c r="X130" s="21">
        <f t="shared" si="3"/>
        <v>360.9</v>
      </c>
    </row>
    <row r="131" spans="1:24" x14ac:dyDescent="0.25">
      <c r="A131" s="22" t="s">
        <v>51</v>
      </c>
      <c r="B131" s="22" t="s">
        <v>42</v>
      </c>
      <c r="C131" s="22" t="s">
        <v>40</v>
      </c>
      <c r="D131" s="22">
        <v>356.625</v>
      </c>
      <c r="E131" s="22">
        <v>358.875</v>
      </c>
      <c r="F131" s="22">
        <v>359.125</v>
      </c>
      <c r="G131" s="22">
        <v>359.25</v>
      </c>
      <c r="H131" s="22">
        <v>359.75</v>
      </c>
      <c r="I131" s="22">
        <v>360.25</v>
      </c>
      <c r="J131" s="22">
        <v>357.375</v>
      </c>
      <c r="K131" s="22">
        <v>358.625</v>
      </c>
      <c r="L131" s="22">
        <v>357.625</v>
      </c>
      <c r="M131" s="22">
        <v>360</v>
      </c>
      <c r="N131" s="22">
        <v>356.25</v>
      </c>
      <c r="O131" s="22">
        <v>356.75</v>
      </c>
      <c r="P131" s="22">
        <v>357</v>
      </c>
      <c r="Q131" s="22">
        <v>357.375</v>
      </c>
      <c r="R131" s="22">
        <v>359.5</v>
      </c>
      <c r="S131" s="22">
        <v>359</v>
      </c>
      <c r="T131" s="22">
        <v>358.125</v>
      </c>
      <c r="U131" s="22">
        <v>353.5</v>
      </c>
      <c r="V131" s="22">
        <v>355.75</v>
      </c>
      <c r="W131" s="22">
        <v>356.125</v>
      </c>
      <c r="X131" s="21">
        <f t="shared" si="3"/>
        <v>357.84375</v>
      </c>
    </row>
    <row r="132" spans="1:24" x14ac:dyDescent="0.25">
      <c r="A132" s="22" t="s">
        <v>52</v>
      </c>
      <c r="B132" s="22" t="s">
        <v>42</v>
      </c>
      <c r="C132" s="22" t="s">
        <v>40</v>
      </c>
      <c r="D132" s="22">
        <v>358.75</v>
      </c>
      <c r="E132" s="22">
        <v>355.375</v>
      </c>
      <c r="F132" s="22">
        <v>356.125</v>
      </c>
      <c r="G132" s="22">
        <v>355.625</v>
      </c>
      <c r="H132" s="22">
        <v>357.25</v>
      </c>
      <c r="I132" s="22">
        <v>355.375</v>
      </c>
      <c r="J132" s="22">
        <v>356</v>
      </c>
      <c r="K132" s="22">
        <v>354.125</v>
      </c>
      <c r="L132" s="22">
        <v>355.25</v>
      </c>
      <c r="M132" s="22">
        <v>354.875</v>
      </c>
      <c r="N132" s="22">
        <v>357.125</v>
      </c>
      <c r="O132" s="22">
        <v>357.75</v>
      </c>
      <c r="P132" s="22">
        <v>356.125</v>
      </c>
      <c r="Q132" s="22">
        <v>357</v>
      </c>
      <c r="R132" s="22">
        <v>358</v>
      </c>
      <c r="S132" s="22">
        <v>354.25</v>
      </c>
      <c r="T132" s="22">
        <v>356.5</v>
      </c>
      <c r="U132" s="22">
        <v>356.5</v>
      </c>
      <c r="V132" s="22">
        <v>356.25</v>
      </c>
      <c r="W132" s="22">
        <v>356.25</v>
      </c>
      <c r="X132" s="21">
        <f t="shared" si="3"/>
        <v>356.22500000000002</v>
      </c>
    </row>
    <row r="133" spans="1:24" x14ac:dyDescent="0.25">
      <c r="A133" s="22" t="s">
        <v>53</v>
      </c>
      <c r="B133" s="22" t="s">
        <v>42</v>
      </c>
      <c r="C133" s="22" t="s">
        <v>40</v>
      </c>
      <c r="D133" s="22">
        <v>355.375</v>
      </c>
      <c r="E133" s="22">
        <v>354.5</v>
      </c>
      <c r="F133" s="22">
        <v>354.875</v>
      </c>
      <c r="G133" s="22">
        <v>355.875</v>
      </c>
      <c r="H133" s="22">
        <v>354.625</v>
      </c>
      <c r="I133" s="22">
        <v>354.75</v>
      </c>
      <c r="J133" s="22">
        <v>356.75</v>
      </c>
      <c r="K133" s="22">
        <v>354.25</v>
      </c>
      <c r="L133" s="22">
        <v>353.875</v>
      </c>
      <c r="M133" s="22">
        <v>351.75</v>
      </c>
      <c r="N133" s="22">
        <v>351.25</v>
      </c>
      <c r="O133" s="22">
        <v>350.5</v>
      </c>
      <c r="P133" s="22">
        <v>351.875</v>
      </c>
      <c r="Q133" s="22">
        <v>352.125</v>
      </c>
      <c r="R133" s="22">
        <v>349.875</v>
      </c>
      <c r="S133" s="22">
        <v>349.875</v>
      </c>
      <c r="T133" s="22">
        <v>351.5</v>
      </c>
      <c r="U133" s="22">
        <v>352.375</v>
      </c>
      <c r="V133" s="22">
        <v>354.25</v>
      </c>
      <c r="W133" s="22">
        <v>352.625</v>
      </c>
      <c r="X133" s="21">
        <f t="shared" si="3"/>
        <v>353.14375000000001</v>
      </c>
    </row>
    <row r="134" spans="1:24" x14ac:dyDescent="0.25">
      <c r="A134" s="22" t="s">
        <v>54</v>
      </c>
      <c r="B134" s="22" t="s">
        <v>42</v>
      </c>
      <c r="C134" s="22" t="s">
        <v>40</v>
      </c>
      <c r="D134" s="22">
        <v>357.5</v>
      </c>
      <c r="E134" s="22">
        <v>354.75</v>
      </c>
      <c r="F134" s="22">
        <v>354.5</v>
      </c>
      <c r="G134" s="22">
        <v>353</v>
      </c>
      <c r="H134" s="22">
        <v>353.625</v>
      </c>
      <c r="I134" s="22">
        <v>351.25</v>
      </c>
      <c r="J134" s="22">
        <v>352.5</v>
      </c>
      <c r="K134" s="22">
        <v>350.25</v>
      </c>
      <c r="L134" s="22">
        <v>347.125</v>
      </c>
      <c r="M134" s="22">
        <v>347.75</v>
      </c>
      <c r="N134" s="22">
        <v>348.375</v>
      </c>
      <c r="O134" s="22">
        <v>348.5</v>
      </c>
      <c r="P134" s="22">
        <v>351.125</v>
      </c>
      <c r="Q134" s="22">
        <v>349.875</v>
      </c>
      <c r="R134" s="22">
        <v>350.375</v>
      </c>
      <c r="S134" s="22">
        <v>350</v>
      </c>
      <c r="T134" s="22">
        <v>348.75</v>
      </c>
      <c r="U134" s="22">
        <v>348.75</v>
      </c>
      <c r="V134" s="22">
        <v>350.5</v>
      </c>
      <c r="W134" s="22">
        <v>349.25</v>
      </c>
      <c r="X134" s="21">
        <f t="shared" si="3"/>
        <v>350.88749999999999</v>
      </c>
    </row>
    <row r="135" spans="1:24" x14ac:dyDescent="0.25">
      <c r="A135" s="22" t="s">
        <v>55</v>
      </c>
      <c r="B135" s="22" t="s">
        <v>42</v>
      </c>
      <c r="C135" s="22" t="s">
        <v>40</v>
      </c>
      <c r="D135" s="22">
        <v>352.375</v>
      </c>
      <c r="E135" s="22">
        <v>351.625</v>
      </c>
      <c r="F135" s="22">
        <v>351.5</v>
      </c>
      <c r="G135" s="22">
        <v>351.625</v>
      </c>
      <c r="H135" s="22">
        <v>350.375</v>
      </c>
      <c r="I135" s="22">
        <v>347.75</v>
      </c>
      <c r="J135" s="22">
        <v>348.125</v>
      </c>
      <c r="K135" s="22">
        <v>347.625</v>
      </c>
      <c r="L135" s="22">
        <v>349.375</v>
      </c>
      <c r="M135" s="22">
        <v>347.375</v>
      </c>
      <c r="N135" s="22">
        <v>347.25</v>
      </c>
      <c r="O135" s="22">
        <v>348.5</v>
      </c>
      <c r="P135" s="22">
        <v>347.75</v>
      </c>
      <c r="Q135" s="22">
        <v>350.5</v>
      </c>
      <c r="R135" s="22">
        <v>348</v>
      </c>
      <c r="S135" s="22">
        <v>348.625</v>
      </c>
      <c r="T135" s="22">
        <v>347.375</v>
      </c>
      <c r="U135" s="22">
        <v>346.75</v>
      </c>
      <c r="V135" s="22">
        <v>349.125</v>
      </c>
      <c r="W135" s="22">
        <v>347.875</v>
      </c>
      <c r="X135" s="21">
        <f t="shared" si="3"/>
        <v>348.97500000000002</v>
      </c>
    </row>
    <row r="136" spans="1:24" x14ac:dyDescent="0.25">
      <c r="A136" s="22" t="s">
        <v>56</v>
      </c>
      <c r="B136" s="22" t="s">
        <v>42</v>
      </c>
      <c r="C136" s="22" t="s">
        <v>40</v>
      </c>
      <c r="D136" s="22">
        <v>346.75</v>
      </c>
      <c r="E136" s="22">
        <v>349.125</v>
      </c>
      <c r="F136" s="22">
        <v>348.5</v>
      </c>
      <c r="G136" s="22">
        <v>346.25</v>
      </c>
      <c r="H136" s="22">
        <v>347.875</v>
      </c>
      <c r="I136" s="22">
        <v>346.875</v>
      </c>
      <c r="J136" s="22">
        <v>345.625</v>
      </c>
      <c r="K136" s="22">
        <v>346.625</v>
      </c>
      <c r="L136" s="22">
        <v>346.5</v>
      </c>
      <c r="M136" s="22">
        <v>344.25</v>
      </c>
      <c r="N136" s="22">
        <v>343.5</v>
      </c>
      <c r="O136" s="22">
        <v>346.75</v>
      </c>
      <c r="P136" s="22">
        <v>343.625</v>
      </c>
      <c r="Q136" s="22">
        <v>344.875</v>
      </c>
      <c r="R136" s="22">
        <v>345.75</v>
      </c>
      <c r="S136" s="22">
        <v>345.375</v>
      </c>
      <c r="T136" s="22">
        <v>345.5</v>
      </c>
      <c r="U136" s="22">
        <v>344.5</v>
      </c>
      <c r="V136" s="22">
        <v>346.25</v>
      </c>
      <c r="W136" s="22">
        <v>346.375</v>
      </c>
      <c r="X136" s="21">
        <f t="shared" si="3"/>
        <v>346.04374999999999</v>
      </c>
    </row>
    <row r="137" spans="1:24" x14ac:dyDescent="0.25">
      <c r="A137" s="22" t="s">
        <v>57</v>
      </c>
      <c r="B137" s="22" t="s">
        <v>42</v>
      </c>
      <c r="C137" s="22" t="s">
        <v>40</v>
      </c>
      <c r="D137" s="22">
        <v>353.625</v>
      </c>
      <c r="E137" s="22">
        <v>353.75</v>
      </c>
      <c r="F137" s="22">
        <v>353</v>
      </c>
      <c r="G137" s="22">
        <v>350.875</v>
      </c>
      <c r="H137" s="22">
        <v>347.125</v>
      </c>
      <c r="I137" s="22">
        <v>347.625</v>
      </c>
      <c r="J137" s="22">
        <v>348.375</v>
      </c>
      <c r="K137" s="22">
        <v>347.625</v>
      </c>
      <c r="L137" s="22">
        <v>347.5</v>
      </c>
      <c r="M137" s="22">
        <v>346.25</v>
      </c>
      <c r="N137" s="22">
        <v>347.25</v>
      </c>
      <c r="O137" s="22">
        <v>345.75</v>
      </c>
      <c r="P137" s="22">
        <v>347.625</v>
      </c>
      <c r="Q137" s="22">
        <v>344.75</v>
      </c>
      <c r="R137" s="22">
        <v>346.625</v>
      </c>
      <c r="S137" s="22">
        <v>344.875</v>
      </c>
      <c r="T137" s="22">
        <v>345.625</v>
      </c>
      <c r="U137" s="22">
        <v>345.75</v>
      </c>
      <c r="V137" s="22">
        <v>346</v>
      </c>
      <c r="W137" s="22">
        <v>342</v>
      </c>
      <c r="X137" s="21">
        <f t="shared" si="3"/>
        <v>347.6</v>
      </c>
    </row>
    <row r="138" spans="1:24" x14ac:dyDescent="0.25">
      <c r="A138" s="14" t="s">
        <v>58</v>
      </c>
      <c r="B138" s="14" t="s">
        <v>42</v>
      </c>
      <c r="C138" s="14" t="s">
        <v>40</v>
      </c>
      <c r="D138" s="14">
        <v>341.5</v>
      </c>
      <c r="E138" s="14">
        <v>345.125</v>
      </c>
      <c r="F138" s="14">
        <v>344.75</v>
      </c>
      <c r="G138" s="14">
        <v>343.75</v>
      </c>
      <c r="H138" s="14">
        <v>343.75</v>
      </c>
      <c r="I138" s="14">
        <v>342.5</v>
      </c>
      <c r="J138" s="14">
        <v>341.625</v>
      </c>
      <c r="K138" s="14">
        <v>347.375</v>
      </c>
      <c r="L138" s="14">
        <v>344.625</v>
      </c>
      <c r="M138" s="14">
        <v>338.875</v>
      </c>
      <c r="N138" s="14">
        <v>338.125</v>
      </c>
      <c r="O138" s="14">
        <v>343.125</v>
      </c>
      <c r="P138" s="14">
        <v>343.5</v>
      </c>
      <c r="Q138" s="14">
        <v>340.875</v>
      </c>
      <c r="R138" s="14">
        <v>341.125</v>
      </c>
      <c r="S138" s="14">
        <v>341.875</v>
      </c>
      <c r="T138" s="14">
        <v>338.875</v>
      </c>
      <c r="U138" s="14">
        <v>339.875</v>
      </c>
      <c r="V138" s="14">
        <v>341.25</v>
      </c>
      <c r="W138" s="14">
        <v>339.125</v>
      </c>
      <c r="X138" s="5">
        <f t="shared" si="3"/>
        <v>342.08125000000001</v>
      </c>
    </row>
    <row r="139" spans="1:24" x14ac:dyDescent="0.25">
      <c r="A139" s="14" t="s">
        <v>59</v>
      </c>
      <c r="B139" s="14" t="s">
        <v>42</v>
      </c>
      <c r="C139" s="14" t="s">
        <v>40</v>
      </c>
      <c r="D139" s="14">
        <v>342.25</v>
      </c>
      <c r="E139" s="14">
        <v>343.75</v>
      </c>
      <c r="F139" s="14">
        <v>342</v>
      </c>
      <c r="G139" s="14">
        <v>341.25</v>
      </c>
      <c r="H139" s="14">
        <v>340.25</v>
      </c>
      <c r="I139" s="14">
        <v>338.875</v>
      </c>
      <c r="J139" s="14">
        <v>338.75</v>
      </c>
      <c r="K139" s="14">
        <v>338.625</v>
      </c>
      <c r="L139" s="14">
        <v>337.875</v>
      </c>
      <c r="M139" s="14">
        <v>337.875</v>
      </c>
      <c r="N139" s="14">
        <v>336.125</v>
      </c>
      <c r="O139" s="14">
        <v>337.375</v>
      </c>
      <c r="P139" s="14">
        <v>336.75</v>
      </c>
      <c r="Q139" s="14">
        <v>341.75</v>
      </c>
      <c r="R139" s="14">
        <v>338.25</v>
      </c>
      <c r="S139" s="14">
        <v>337.25</v>
      </c>
      <c r="T139" s="14">
        <v>336.75</v>
      </c>
      <c r="U139" s="14">
        <v>337.25</v>
      </c>
      <c r="V139" s="14">
        <v>339.375</v>
      </c>
      <c r="W139" s="14">
        <v>337.375</v>
      </c>
      <c r="X139" s="5">
        <f t="shared" si="3"/>
        <v>338.98750000000001</v>
      </c>
    </row>
    <row r="140" spans="1:24" x14ac:dyDescent="0.25">
      <c r="A140" s="14" t="s">
        <v>60</v>
      </c>
      <c r="B140" s="14" t="s">
        <v>42</v>
      </c>
      <c r="C140" s="14" t="s">
        <v>40</v>
      </c>
      <c r="D140" s="14">
        <v>338.5</v>
      </c>
      <c r="E140" s="14">
        <v>338</v>
      </c>
      <c r="F140" s="14">
        <v>340.75</v>
      </c>
      <c r="G140" s="14">
        <v>339.375</v>
      </c>
      <c r="H140" s="14">
        <v>339.5</v>
      </c>
      <c r="I140" s="14">
        <v>338.75</v>
      </c>
      <c r="J140" s="14">
        <v>339.625</v>
      </c>
      <c r="K140" s="14">
        <v>336.5</v>
      </c>
      <c r="L140" s="14">
        <v>336.875</v>
      </c>
      <c r="M140" s="14">
        <v>337.875</v>
      </c>
      <c r="N140" s="14">
        <v>335.5</v>
      </c>
      <c r="O140" s="14">
        <v>336.75</v>
      </c>
      <c r="P140" s="14">
        <v>335.75</v>
      </c>
      <c r="Q140" s="14">
        <v>335</v>
      </c>
      <c r="R140" s="14">
        <v>340.625</v>
      </c>
      <c r="S140" s="14">
        <v>337.375</v>
      </c>
      <c r="T140" s="14">
        <v>338.625</v>
      </c>
      <c r="U140" s="14">
        <v>336.25</v>
      </c>
      <c r="V140" s="14">
        <v>334.875</v>
      </c>
      <c r="W140" s="14">
        <v>335.625</v>
      </c>
      <c r="X140" s="5">
        <f t="shared" si="3"/>
        <v>337.60624999999999</v>
      </c>
    </row>
    <row r="141" spans="1:24" x14ac:dyDescent="0.25">
      <c r="A141" s="14" t="s">
        <v>61</v>
      </c>
      <c r="B141" s="14" t="s">
        <v>42</v>
      </c>
      <c r="C141" s="14" t="s">
        <v>40</v>
      </c>
      <c r="D141" s="14">
        <v>337.75</v>
      </c>
      <c r="E141" s="14">
        <v>333.625</v>
      </c>
      <c r="F141" s="14">
        <v>337.5</v>
      </c>
      <c r="G141" s="14">
        <v>339</v>
      </c>
      <c r="H141" s="14">
        <v>335.75</v>
      </c>
      <c r="I141" s="14">
        <v>338.375</v>
      </c>
      <c r="J141" s="14">
        <v>336.75</v>
      </c>
      <c r="K141" s="14">
        <v>336.625</v>
      </c>
      <c r="L141" s="14">
        <v>339</v>
      </c>
      <c r="M141" s="14">
        <v>340.125</v>
      </c>
      <c r="N141" s="14">
        <v>337.25</v>
      </c>
      <c r="O141" s="14">
        <v>335.375</v>
      </c>
      <c r="P141" s="14">
        <v>337.75</v>
      </c>
      <c r="Q141" s="14">
        <v>335.375</v>
      </c>
      <c r="R141" s="14">
        <v>335.25</v>
      </c>
      <c r="S141" s="14">
        <v>334.75</v>
      </c>
      <c r="T141" s="14">
        <v>336</v>
      </c>
      <c r="U141" s="14">
        <v>336.375</v>
      </c>
      <c r="V141" s="14">
        <v>336.625</v>
      </c>
      <c r="W141" s="14">
        <v>337.375</v>
      </c>
      <c r="X141" s="5">
        <f t="shared" si="3"/>
        <v>336.83125000000001</v>
      </c>
    </row>
    <row r="142" spans="1:24" x14ac:dyDescent="0.25">
      <c r="A142" s="14" t="s">
        <v>62</v>
      </c>
      <c r="B142" s="14" t="s">
        <v>42</v>
      </c>
      <c r="C142" s="14" t="s">
        <v>40</v>
      </c>
      <c r="D142" s="14">
        <v>337.875</v>
      </c>
      <c r="E142" s="14">
        <v>338.375</v>
      </c>
      <c r="F142" s="14">
        <v>334.5</v>
      </c>
      <c r="G142" s="14">
        <v>336.375</v>
      </c>
      <c r="H142" s="14">
        <v>332.75</v>
      </c>
      <c r="I142" s="14">
        <v>336.25</v>
      </c>
      <c r="J142" s="14">
        <v>335.375</v>
      </c>
      <c r="K142" s="14">
        <v>333.75</v>
      </c>
      <c r="L142" s="14">
        <v>336.375</v>
      </c>
      <c r="M142" s="14">
        <v>336.125</v>
      </c>
      <c r="N142" s="14">
        <v>333.125</v>
      </c>
      <c r="O142" s="14">
        <v>335.875</v>
      </c>
      <c r="P142" s="14">
        <v>337</v>
      </c>
      <c r="Q142" s="14">
        <v>334</v>
      </c>
      <c r="R142" s="14">
        <v>335.125</v>
      </c>
      <c r="S142" s="14">
        <v>335.25</v>
      </c>
      <c r="T142" s="14">
        <v>332</v>
      </c>
      <c r="U142" s="14">
        <v>335.375</v>
      </c>
      <c r="V142" s="14">
        <v>337.125</v>
      </c>
      <c r="W142" s="14">
        <v>334.875</v>
      </c>
      <c r="X142" s="5">
        <f t="shared" si="3"/>
        <v>335.375</v>
      </c>
    </row>
    <row r="143" spans="1:24" x14ac:dyDescent="0.25">
      <c r="A143" s="14" t="s">
        <v>63</v>
      </c>
      <c r="B143" s="14" t="s">
        <v>42</v>
      </c>
      <c r="C143" s="14" t="s">
        <v>40</v>
      </c>
      <c r="D143" s="14">
        <v>372</v>
      </c>
      <c r="E143" s="14">
        <v>375.125</v>
      </c>
      <c r="F143" s="14">
        <v>372.125</v>
      </c>
      <c r="G143" s="14">
        <v>373.75</v>
      </c>
      <c r="H143" s="14">
        <v>375.375</v>
      </c>
      <c r="I143" s="14">
        <v>372.375</v>
      </c>
      <c r="J143" s="14">
        <v>374.625</v>
      </c>
      <c r="K143" s="14">
        <v>371.25</v>
      </c>
      <c r="L143" s="14">
        <v>372.375</v>
      </c>
      <c r="M143" s="14">
        <v>373.5</v>
      </c>
      <c r="N143" s="14">
        <v>372</v>
      </c>
      <c r="O143" s="14">
        <v>371.375</v>
      </c>
      <c r="P143" s="14">
        <v>370.5</v>
      </c>
      <c r="Q143" s="14">
        <v>370.25</v>
      </c>
      <c r="R143" s="14">
        <v>372.875</v>
      </c>
      <c r="S143" s="14">
        <v>369.375</v>
      </c>
      <c r="T143" s="14">
        <v>367.625</v>
      </c>
      <c r="U143" s="14">
        <v>368.625</v>
      </c>
      <c r="V143" s="14">
        <v>369.125</v>
      </c>
      <c r="W143" s="14">
        <v>369.75</v>
      </c>
      <c r="X143" s="5">
        <f t="shared" si="3"/>
        <v>371.7</v>
      </c>
    </row>
    <row r="144" spans="1:24" x14ac:dyDescent="0.25">
      <c r="A144" s="14" t="s">
        <v>64</v>
      </c>
      <c r="B144" s="14" t="s">
        <v>42</v>
      </c>
      <c r="C144" s="14" t="s">
        <v>40</v>
      </c>
      <c r="D144" s="14">
        <v>354.875</v>
      </c>
      <c r="E144" s="14">
        <v>354.125</v>
      </c>
      <c r="F144" s="14">
        <v>353.25</v>
      </c>
      <c r="G144" s="14">
        <v>356.5</v>
      </c>
      <c r="H144" s="14">
        <v>356.75</v>
      </c>
      <c r="I144" s="14">
        <v>357.125</v>
      </c>
      <c r="J144" s="14">
        <v>351.625</v>
      </c>
      <c r="K144" s="14">
        <v>354.875</v>
      </c>
      <c r="L144" s="14">
        <v>356.125</v>
      </c>
      <c r="M144" s="14">
        <v>354.875</v>
      </c>
      <c r="N144" s="14">
        <v>354.375</v>
      </c>
      <c r="O144" s="14">
        <v>354</v>
      </c>
      <c r="P144" s="14">
        <v>353.25</v>
      </c>
      <c r="Q144" s="14">
        <v>351.375</v>
      </c>
      <c r="R144" s="14">
        <v>353.25</v>
      </c>
      <c r="S144" s="14">
        <v>354.5</v>
      </c>
      <c r="T144" s="14">
        <v>351.625</v>
      </c>
      <c r="U144" s="14">
        <v>353.75</v>
      </c>
      <c r="V144" s="14">
        <v>354.5</v>
      </c>
      <c r="W144" s="14">
        <v>353.25</v>
      </c>
      <c r="X144" s="5">
        <f t="shared" si="3"/>
        <v>354.2</v>
      </c>
    </row>
    <row r="145" spans="1:24" x14ac:dyDescent="0.25">
      <c r="A145" s="14" t="s">
        <v>65</v>
      </c>
      <c r="B145" s="14" t="s">
        <v>42</v>
      </c>
      <c r="C145" s="14" t="s">
        <v>40</v>
      </c>
      <c r="D145" s="14">
        <v>344.5</v>
      </c>
      <c r="E145" s="14">
        <v>346.125</v>
      </c>
      <c r="F145" s="14">
        <v>344.875</v>
      </c>
      <c r="G145" s="14">
        <v>345</v>
      </c>
      <c r="H145" s="14">
        <v>345.75</v>
      </c>
      <c r="I145" s="14">
        <v>346.75</v>
      </c>
      <c r="J145" s="14">
        <v>345.625</v>
      </c>
      <c r="K145" s="14">
        <v>342.875</v>
      </c>
      <c r="L145" s="14">
        <v>344.875</v>
      </c>
      <c r="M145" s="14">
        <v>344.25</v>
      </c>
      <c r="N145" s="14">
        <v>343.875</v>
      </c>
      <c r="O145" s="14">
        <v>346</v>
      </c>
      <c r="P145" s="14">
        <v>342</v>
      </c>
      <c r="Q145" s="14">
        <v>342.125</v>
      </c>
      <c r="R145" s="14">
        <v>345.125</v>
      </c>
      <c r="S145" s="14">
        <v>345</v>
      </c>
      <c r="T145" s="14">
        <v>343</v>
      </c>
      <c r="U145" s="14">
        <v>345.25</v>
      </c>
      <c r="V145" s="14">
        <v>343.5</v>
      </c>
      <c r="W145" s="14">
        <v>342.625</v>
      </c>
      <c r="X145" s="5">
        <f t="shared" si="3"/>
        <v>344.45625000000001</v>
      </c>
    </row>
    <row r="146" spans="1:24" x14ac:dyDescent="0.25">
      <c r="A146" s="14" t="s">
        <v>66</v>
      </c>
      <c r="B146" s="14" t="s">
        <v>42</v>
      </c>
      <c r="C146" s="14" t="s">
        <v>40</v>
      </c>
      <c r="D146" s="14">
        <v>338.625</v>
      </c>
      <c r="E146" s="14">
        <v>335.25</v>
      </c>
      <c r="F146" s="14">
        <v>337.25</v>
      </c>
      <c r="G146" s="14">
        <v>335.125</v>
      </c>
      <c r="H146" s="14">
        <v>334.875</v>
      </c>
      <c r="I146" s="14">
        <v>335.625</v>
      </c>
      <c r="J146" s="14">
        <v>336.125</v>
      </c>
      <c r="K146" s="14">
        <v>334.875</v>
      </c>
      <c r="L146" s="14">
        <v>335.625</v>
      </c>
      <c r="M146" s="14">
        <v>336</v>
      </c>
      <c r="N146" s="14">
        <v>334.625</v>
      </c>
      <c r="O146" s="14">
        <v>335.75</v>
      </c>
      <c r="P146" s="14">
        <v>335</v>
      </c>
      <c r="Q146" s="14">
        <v>337.625</v>
      </c>
      <c r="R146" s="14">
        <v>334.875</v>
      </c>
      <c r="S146" s="14">
        <v>332.25</v>
      </c>
      <c r="T146" s="14">
        <v>334.375</v>
      </c>
      <c r="U146" s="14">
        <v>337.875</v>
      </c>
      <c r="V146" s="14">
        <v>336.25</v>
      </c>
      <c r="W146" s="14">
        <v>336.5</v>
      </c>
      <c r="X146" s="5">
        <f t="shared" si="3"/>
        <v>335.72500000000002</v>
      </c>
    </row>
    <row r="147" spans="1:24" x14ac:dyDescent="0.25">
      <c r="A147" s="14" t="s">
        <v>67</v>
      </c>
      <c r="B147" s="14" t="s">
        <v>42</v>
      </c>
      <c r="C147" s="14" t="s">
        <v>40</v>
      </c>
      <c r="D147" s="14">
        <v>332</v>
      </c>
      <c r="E147" s="14">
        <v>330.875</v>
      </c>
      <c r="F147" s="14">
        <v>331.875</v>
      </c>
      <c r="G147" s="14">
        <v>329.375</v>
      </c>
      <c r="H147" s="14">
        <v>329.125</v>
      </c>
      <c r="I147" s="14">
        <v>329.5</v>
      </c>
      <c r="J147" s="14">
        <v>331.875</v>
      </c>
      <c r="K147" s="14">
        <v>331</v>
      </c>
      <c r="L147" s="14">
        <v>335.125</v>
      </c>
      <c r="M147" s="14">
        <v>329.5</v>
      </c>
      <c r="N147" s="14">
        <v>327.75</v>
      </c>
      <c r="O147" s="14">
        <v>330.75</v>
      </c>
      <c r="P147" s="14">
        <v>330</v>
      </c>
      <c r="Q147" s="14">
        <v>330.75</v>
      </c>
      <c r="R147" s="14">
        <v>332.875</v>
      </c>
      <c r="S147" s="14">
        <v>329.625</v>
      </c>
      <c r="T147" s="14">
        <v>330.875</v>
      </c>
      <c r="U147" s="14">
        <v>328.25</v>
      </c>
      <c r="V147" s="14">
        <v>330.625</v>
      </c>
      <c r="W147" s="14">
        <v>332.625</v>
      </c>
      <c r="X147" s="5">
        <f t="shared" si="3"/>
        <v>330.71875</v>
      </c>
    </row>
    <row r="148" spans="1:24" x14ac:dyDescent="0.25">
      <c r="A148" s="14" t="s">
        <v>68</v>
      </c>
      <c r="B148" s="14" t="s">
        <v>42</v>
      </c>
      <c r="C148" s="14" t="s">
        <v>40</v>
      </c>
      <c r="D148" s="14">
        <v>331.75</v>
      </c>
      <c r="E148" s="14">
        <v>329.125</v>
      </c>
      <c r="F148" s="14">
        <v>331.875</v>
      </c>
      <c r="G148" s="14">
        <v>328.25</v>
      </c>
      <c r="H148" s="14">
        <v>328.875</v>
      </c>
      <c r="I148" s="14">
        <v>330.875</v>
      </c>
      <c r="J148" s="14">
        <v>326.625</v>
      </c>
      <c r="K148" s="14">
        <v>329.875</v>
      </c>
      <c r="L148" s="14">
        <v>327.875</v>
      </c>
      <c r="M148" s="14">
        <v>325.375</v>
      </c>
      <c r="N148" s="14">
        <v>326.25</v>
      </c>
      <c r="O148" s="14">
        <v>327.25</v>
      </c>
      <c r="P148" s="14">
        <v>328.125</v>
      </c>
      <c r="Q148" s="14">
        <v>330</v>
      </c>
      <c r="R148" s="14">
        <v>327.25</v>
      </c>
      <c r="S148" s="14">
        <v>326.5</v>
      </c>
      <c r="T148" s="14">
        <v>325.5</v>
      </c>
      <c r="U148" s="14">
        <v>325.5</v>
      </c>
      <c r="V148" s="14">
        <v>329.625</v>
      </c>
      <c r="W148" s="14">
        <v>325.75</v>
      </c>
      <c r="X148" s="5">
        <f t="shared" si="3"/>
        <v>328.11250000000001</v>
      </c>
    </row>
    <row r="149" spans="1:24" x14ac:dyDescent="0.25">
      <c r="A149" s="14" t="s">
        <v>69</v>
      </c>
      <c r="B149" s="14" t="s">
        <v>42</v>
      </c>
      <c r="C149" s="14" t="s">
        <v>40</v>
      </c>
      <c r="D149" s="14">
        <v>325.625</v>
      </c>
      <c r="E149" s="14">
        <v>324.75</v>
      </c>
      <c r="F149" s="14">
        <v>324.625</v>
      </c>
      <c r="G149" s="14">
        <v>327.5</v>
      </c>
      <c r="H149" s="14">
        <v>323</v>
      </c>
      <c r="I149" s="14">
        <v>327</v>
      </c>
      <c r="J149" s="14">
        <v>325.75</v>
      </c>
      <c r="K149" s="14">
        <v>326.625</v>
      </c>
      <c r="L149" s="14">
        <v>325</v>
      </c>
      <c r="M149" s="14">
        <v>327.125</v>
      </c>
      <c r="N149" s="14">
        <v>325.75</v>
      </c>
      <c r="O149" s="14">
        <v>324.5</v>
      </c>
      <c r="P149" s="14">
        <v>321.5</v>
      </c>
      <c r="Q149" s="14">
        <v>328</v>
      </c>
      <c r="R149" s="14">
        <v>326.875</v>
      </c>
      <c r="S149" s="14">
        <v>324.625</v>
      </c>
      <c r="T149" s="14">
        <v>325.5</v>
      </c>
      <c r="U149" s="14">
        <v>322.75</v>
      </c>
      <c r="V149" s="14">
        <v>324.75</v>
      </c>
      <c r="W149" s="14">
        <v>321.875</v>
      </c>
      <c r="X149" s="5">
        <f t="shared" si="3"/>
        <v>325.15625</v>
      </c>
    </row>
    <row r="150" spans="1:24" x14ac:dyDescent="0.25">
      <c r="A150" s="14" t="s">
        <v>70</v>
      </c>
      <c r="B150" s="14" t="s">
        <v>42</v>
      </c>
      <c r="C150" s="14" t="s">
        <v>40</v>
      </c>
      <c r="D150" s="14">
        <v>327.125</v>
      </c>
      <c r="E150" s="14">
        <v>327.5</v>
      </c>
      <c r="F150" s="14">
        <v>326.125</v>
      </c>
      <c r="G150" s="14">
        <v>328.625</v>
      </c>
      <c r="H150" s="14">
        <v>327</v>
      </c>
      <c r="I150" s="14">
        <v>327.875</v>
      </c>
      <c r="J150" s="14">
        <v>326.25</v>
      </c>
      <c r="K150" s="14">
        <v>324.75</v>
      </c>
      <c r="L150" s="14">
        <v>323</v>
      </c>
      <c r="M150" s="14">
        <v>321</v>
      </c>
      <c r="N150" s="14">
        <v>324</v>
      </c>
      <c r="O150" s="14">
        <v>325.125</v>
      </c>
      <c r="P150" s="14">
        <v>327.875</v>
      </c>
      <c r="Q150" s="14">
        <v>326</v>
      </c>
      <c r="R150" s="14">
        <v>324.375</v>
      </c>
      <c r="S150" s="14">
        <v>326.125</v>
      </c>
      <c r="T150" s="14">
        <v>322.625</v>
      </c>
      <c r="U150" s="14">
        <v>323</v>
      </c>
      <c r="V150" s="14">
        <v>325.875</v>
      </c>
      <c r="W150" s="14">
        <v>326</v>
      </c>
      <c r="X150" s="5">
        <f t="shared" si="3"/>
        <v>325.51249999999999</v>
      </c>
    </row>
    <row r="151" spans="1:24" x14ac:dyDescent="0.25">
      <c r="A151" s="14" t="s">
        <v>71</v>
      </c>
      <c r="B151" s="14" t="s">
        <v>42</v>
      </c>
      <c r="C151" s="14" t="s">
        <v>40</v>
      </c>
      <c r="D151" s="14">
        <v>326.75</v>
      </c>
      <c r="E151" s="14">
        <v>325.125</v>
      </c>
      <c r="F151" s="14">
        <v>325</v>
      </c>
      <c r="G151" s="14">
        <v>325.375</v>
      </c>
      <c r="H151" s="14">
        <v>323.875</v>
      </c>
      <c r="I151" s="14">
        <v>322.25</v>
      </c>
      <c r="J151" s="14">
        <v>322.375</v>
      </c>
      <c r="K151" s="14">
        <v>327.375</v>
      </c>
      <c r="L151" s="14">
        <v>326.125</v>
      </c>
      <c r="M151" s="14">
        <v>325.875</v>
      </c>
      <c r="N151" s="14">
        <v>324.125</v>
      </c>
      <c r="O151" s="14">
        <v>326.25</v>
      </c>
      <c r="P151" s="14">
        <v>324.625</v>
      </c>
      <c r="Q151" s="14">
        <v>324.5</v>
      </c>
      <c r="R151" s="14">
        <v>322.875</v>
      </c>
      <c r="S151" s="14">
        <v>322.875</v>
      </c>
      <c r="T151" s="14">
        <v>323.375</v>
      </c>
      <c r="U151" s="14">
        <v>322.375</v>
      </c>
      <c r="V151" s="14">
        <v>324.25</v>
      </c>
      <c r="W151" s="14">
        <v>323.625</v>
      </c>
      <c r="X151" s="5">
        <f t="shared" si="3"/>
        <v>324.45</v>
      </c>
    </row>
    <row r="152" spans="1:24" x14ac:dyDescent="0.25">
      <c r="A152" s="14" t="s">
        <v>72</v>
      </c>
      <c r="B152" s="14" t="s">
        <v>42</v>
      </c>
      <c r="C152" s="14" t="s">
        <v>40</v>
      </c>
      <c r="D152" s="14">
        <v>327.625</v>
      </c>
      <c r="E152" s="14">
        <v>327.375</v>
      </c>
      <c r="F152" s="14">
        <v>326</v>
      </c>
      <c r="G152" s="14">
        <v>324.75</v>
      </c>
      <c r="H152" s="14">
        <v>323.875</v>
      </c>
      <c r="I152" s="14">
        <v>323.5</v>
      </c>
      <c r="J152" s="14">
        <v>324.5</v>
      </c>
      <c r="K152" s="14">
        <v>323</v>
      </c>
      <c r="L152" s="14">
        <v>326</v>
      </c>
      <c r="M152" s="14">
        <v>325</v>
      </c>
      <c r="N152" s="14">
        <v>326.875</v>
      </c>
      <c r="O152" s="14">
        <v>324.75</v>
      </c>
      <c r="P152" s="14">
        <v>323.375</v>
      </c>
      <c r="Q152" s="14">
        <v>323.875</v>
      </c>
      <c r="R152" s="14">
        <v>324.125</v>
      </c>
      <c r="S152" s="14">
        <v>323.625</v>
      </c>
      <c r="T152" s="14">
        <v>324.625</v>
      </c>
      <c r="U152" s="14">
        <v>325.25</v>
      </c>
      <c r="V152" s="14">
        <v>325.25</v>
      </c>
      <c r="W152" s="14">
        <v>324.75</v>
      </c>
      <c r="X152" s="5">
        <f t="shared" si="3"/>
        <v>324.90625</v>
      </c>
    </row>
    <row r="153" spans="1:24" x14ac:dyDescent="0.25">
      <c r="A153" s="14" t="s">
        <v>73</v>
      </c>
      <c r="B153" s="14" t="s">
        <v>42</v>
      </c>
      <c r="C153" s="14" t="s">
        <v>40</v>
      </c>
      <c r="D153" s="14">
        <v>326.25</v>
      </c>
      <c r="E153" s="14">
        <v>324.125</v>
      </c>
      <c r="F153" s="14">
        <v>323.625</v>
      </c>
      <c r="G153" s="14">
        <v>322.875</v>
      </c>
      <c r="H153" s="14">
        <v>322.625</v>
      </c>
      <c r="I153" s="14">
        <v>321.125</v>
      </c>
      <c r="J153" s="14">
        <v>325.75</v>
      </c>
      <c r="K153" s="14">
        <v>322.5</v>
      </c>
      <c r="L153" s="14">
        <v>326.375</v>
      </c>
      <c r="M153" s="14">
        <v>324.125</v>
      </c>
      <c r="N153" s="14">
        <v>326.125</v>
      </c>
      <c r="O153" s="14">
        <v>324</v>
      </c>
      <c r="P153" s="14">
        <v>323.875</v>
      </c>
      <c r="Q153" s="14">
        <v>323.25</v>
      </c>
      <c r="R153" s="14">
        <v>322.375</v>
      </c>
      <c r="S153" s="14">
        <v>323.125</v>
      </c>
      <c r="T153" s="14">
        <v>322.125</v>
      </c>
      <c r="U153" s="14">
        <v>321.75</v>
      </c>
      <c r="V153" s="14">
        <v>323</v>
      </c>
      <c r="W153" s="14">
        <v>325.75</v>
      </c>
      <c r="X153" s="5">
        <f t="shared" si="3"/>
        <v>323.73750000000001</v>
      </c>
    </row>
    <row r="154" spans="1:24" x14ac:dyDescent="0.25">
      <c r="A154" s="14" t="s">
        <v>74</v>
      </c>
      <c r="B154" s="14" t="s">
        <v>42</v>
      </c>
      <c r="C154" s="14" t="s">
        <v>40</v>
      </c>
      <c r="D154" s="14">
        <v>325.375</v>
      </c>
      <c r="E154" s="14">
        <v>325.625</v>
      </c>
      <c r="F154" s="14">
        <v>326.875</v>
      </c>
      <c r="G154" s="14">
        <v>327.125</v>
      </c>
      <c r="H154" s="14">
        <v>324.375</v>
      </c>
      <c r="I154" s="14">
        <v>326.875</v>
      </c>
      <c r="J154" s="14">
        <v>325.625</v>
      </c>
      <c r="K154" s="14">
        <v>323.25</v>
      </c>
      <c r="L154" s="14">
        <v>320.75</v>
      </c>
      <c r="M154" s="14">
        <v>321</v>
      </c>
      <c r="N154" s="14">
        <v>323.5</v>
      </c>
      <c r="O154" s="14">
        <v>325.5</v>
      </c>
      <c r="P154" s="14">
        <v>324.5</v>
      </c>
      <c r="Q154" s="14">
        <v>324.875</v>
      </c>
      <c r="R154" s="14">
        <v>324.625</v>
      </c>
      <c r="S154" s="14">
        <v>323.875</v>
      </c>
      <c r="T154" s="14">
        <v>325.25</v>
      </c>
      <c r="U154" s="14">
        <v>324.875</v>
      </c>
      <c r="V154" s="14">
        <v>323.75</v>
      </c>
      <c r="W154" s="14">
        <v>322</v>
      </c>
      <c r="X154" s="5">
        <f t="shared" si="3"/>
        <v>324.48124999999999</v>
      </c>
    </row>
    <row r="155" spans="1:24" x14ac:dyDescent="0.25">
      <c r="A155" s="14" t="s">
        <v>75</v>
      </c>
      <c r="B155" s="14" t="s">
        <v>42</v>
      </c>
      <c r="C155" s="14" t="s">
        <v>40</v>
      </c>
      <c r="D155" s="14">
        <v>322.5</v>
      </c>
      <c r="E155" s="14">
        <v>324</v>
      </c>
      <c r="F155" s="14">
        <v>323.75</v>
      </c>
      <c r="G155" s="14">
        <v>323.375</v>
      </c>
      <c r="H155" s="14">
        <v>325.75</v>
      </c>
      <c r="I155" s="14">
        <v>326.5</v>
      </c>
      <c r="J155" s="14">
        <v>322.875</v>
      </c>
      <c r="K155" s="14">
        <v>322.625</v>
      </c>
      <c r="L155" s="14">
        <v>322.125</v>
      </c>
      <c r="M155" s="14">
        <v>321.875</v>
      </c>
      <c r="N155" s="14">
        <v>321.375</v>
      </c>
      <c r="O155" s="14">
        <v>322.75</v>
      </c>
      <c r="P155" s="14">
        <v>322</v>
      </c>
      <c r="Q155" s="14">
        <v>321.25</v>
      </c>
      <c r="R155" s="14">
        <v>323.875</v>
      </c>
      <c r="S155" s="14">
        <v>324</v>
      </c>
      <c r="T155" s="14">
        <v>322.75</v>
      </c>
      <c r="U155" s="14">
        <v>323.125</v>
      </c>
      <c r="V155" s="14">
        <v>320.5</v>
      </c>
      <c r="W155" s="14">
        <v>322.375</v>
      </c>
      <c r="X155" s="5">
        <f t="shared" si="3"/>
        <v>322.96875</v>
      </c>
    </row>
    <row r="156" spans="1:24" x14ac:dyDescent="0.25">
      <c r="A156" s="14" t="s">
        <v>76</v>
      </c>
      <c r="B156" s="14" t="s">
        <v>42</v>
      </c>
      <c r="C156" s="14" t="s">
        <v>40</v>
      </c>
      <c r="D156" s="14">
        <v>324.125</v>
      </c>
      <c r="E156" s="14">
        <v>324.75</v>
      </c>
      <c r="F156" s="14">
        <v>322.25</v>
      </c>
      <c r="G156" s="14">
        <v>323.25</v>
      </c>
      <c r="H156" s="14">
        <v>321</v>
      </c>
      <c r="I156" s="14">
        <v>321.625</v>
      </c>
      <c r="J156" s="14">
        <v>320.875</v>
      </c>
      <c r="K156" s="14">
        <v>323.5</v>
      </c>
      <c r="L156" s="14">
        <v>322.75</v>
      </c>
      <c r="M156" s="14">
        <v>321.25</v>
      </c>
      <c r="N156" s="14">
        <v>323.125</v>
      </c>
      <c r="O156" s="14">
        <v>322.625</v>
      </c>
      <c r="P156" s="14">
        <v>322.125</v>
      </c>
      <c r="Q156" s="14">
        <v>323.375</v>
      </c>
      <c r="R156" s="14">
        <v>321.875</v>
      </c>
      <c r="S156" s="14">
        <v>321.5</v>
      </c>
      <c r="T156" s="14">
        <v>320.875</v>
      </c>
      <c r="U156" s="14">
        <v>319.5</v>
      </c>
      <c r="V156" s="14">
        <v>319.875</v>
      </c>
      <c r="W156" s="14">
        <v>323.75</v>
      </c>
      <c r="X156" s="5">
        <f t="shared" si="3"/>
        <v>322.2</v>
      </c>
    </row>
    <row r="157" spans="1:24" x14ac:dyDescent="0.25">
      <c r="X157" s="5">
        <f>AVERAGE(X138:X156)</f>
        <v>334.16874999999999</v>
      </c>
    </row>
  </sheetData>
  <sortState xmlns:xlrd2="http://schemas.microsoft.com/office/spreadsheetml/2017/richdata2" ref="A82:W156">
    <sortCondition ref="B82:B156"/>
    <sortCondition ref="C82:C156"/>
    <sortCondition ref="A82:A156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E0A22-9A40-45CF-A65C-87D81F1E4812}">
  <sheetPr>
    <tabColor theme="8" tint="0.39997558519241921"/>
  </sheetPr>
  <dimension ref="A1:Z46"/>
  <sheetViews>
    <sheetView zoomScale="115" zoomScaleNormal="115" workbookViewId="0">
      <selection activeCell="C18" sqref="C18"/>
    </sheetView>
  </sheetViews>
  <sheetFormatPr baseColWidth="10" defaultRowHeight="15" x14ac:dyDescent="0.25"/>
  <cols>
    <col min="1" max="1" width="6.28515625" customWidth="1"/>
    <col min="2" max="18" width="6" bestFit="1" customWidth="1"/>
    <col min="19" max="19" width="6" customWidth="1"/>
    <col min="20" max="20" width="6" bestFit="1" customWidth="1"/>
    <col min="21" max="21" width="11.42578125" style="4"/>
    <col min="22" max="22" width="12" style="4" bestFit="1" customWidth="1"/>
    <col min="23" max="23" width="16.28515625" style="4" bestFit="1" customWidth="1"/>
  </cols>
  <sheetData>
    <row r="1" spans="1:26" x14ac:dyDescent="0.25">
      <c r="A1" s="141" t="s">
        <v>7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</row>
    <row r="2" spans="1:26" ht="18" x14ac:dyDescent="0.25">
      <c r="A2" s="1" t="s">
        <v>2</v>
      </c>
      <c r="U2" s="4" t="s">
        <v>9</v>
      </c>
      <c r="V2" s="4" t="s">
        <v>10</v>
      </c>
      <c r="W2" s="4" t="s">
        <v>11</v>
      </c>
    </row>
    <row r="3" spans="1:26" x14ac:dyDescent="0.25">
      <c r="A3" s="6">
        <v>0.32</v>
      </c>
      <c r="B3" s="6">
        <v>0.32200000000000001</v>
      </c>
      <c r="C3" s="6">
        <v>0.32100000000000001</v>
      </c>
      <c r="D3" s="6">
        <v>0.32100000000000001</v>
      </c>
      <c r="E3" s="6">
        <v>0.32100000000000001</v>
      </c>
      <c r="F3" s="6">
        <v>0.32300000000000001</v>
      </c>
      <c r="G3" s="6">
        <v>0.32500000000000001</v>
      </c>
      <c r="H3" s="6">
        <v>0.32200000000000001</v>
      </c>
      <c r="I3" s="6">
        <v>0.32300000000000001</v>
      </c>
      <c r="J3" s="6">
        <v>0.32300000000000001</v>
      </c>
      <c r="K3" s="6">
        <v>0.32300000000000001</v>
      </c>
      <c r="L3" s="6">
        <v>0.31900000000000001</v>
      </c>
      <c r="M3" s="6">
        <v>0.32200000000000001</v>
      </c>
      <c r="N3" s="6">
        <v>0.32300000000000001</v>
      </c>
      <c r="O3" s="6">
        <v>0.32</v>
      </c>
      <c r="P3" s="6">
        <v>0.32300000000000001</v>
      </c>
      <c r="Q3" s="6">
        <v>0.32200000000000001</v>
      </c>
      <c r="R3" s="6">
        <v>0.32200000000000001</v>
      </c>
      <c r="S3" s="6">
        <v>0.32300000000000001</v>
      </c>
      <c r="T3" s="6">
        <v>0.32300000000000001</v>
      </c>
      <c r="U3" s="5">
        <f>AVERAGE(A3:T3)</f>
        <v>0.32205000000000006</v>
      </c>
      <c r="V3" s="5">
        <f>VARA(A3:T3)</f>
        <v>1.9447368421052657E-6</v>
      </c>
      <c r="W3" s="8">
        <f>STDEV(A3:T3)</f>
        <v>1.3945382182304169E-3</v>
      </c>
      <c r="X3" s="9">
        <v>0.41666666666666669</v>
      </c>
      <c r="Y3" s="9">
        <v>9.7222222222222224E-2</v>
      </c>
    </row>
    <row r="4" spans="1:26" x14ac:dyDescent="0.25">
      <c r="A4" s="6">
        <v>0.317</v>
      </c>
      <c r="B4" s="6">
        <v>0.32100000000000001</v>
      </c>
      <c r="C4" s="6">
        <v>0.32200000000000001</v>
      </c>
      <c r="D4" s="6">
        <v>0.31900000000000001</v>
      </c>
      <c r="E4" s="6">
        <v>0.32200000000000001</v>
      </c>
      <c r="F4" s="6">
        <v>0.32100000000000001</v>
      </c>
      <c r="G4" s="6">
        <v>0.32</v>
      </c>
      <c r="H4" s="6">
        <v>0.32</v>
      </c>
      <c r="I4" s="6">
        <v>0.32</v>
      </c>
      <c r="J4" s="6">
        <v>0.32200000000000001</v>
      </c>
      <c r="K4" s="6">
        <v>0.32</v>
      </c>
      <c r="L4" s="6">
        <v>0.32200000000000001</v>
      </c>
      <c r="M4" s="6">
        <v>0.31900000000000001</v>
      </c>
      <c r="N4" s="6">
        <v>0.32200000000000001</v>
      </c>
      <c r="O4" s="6">
        <v>0.32200000000000001</v>
      </c>
      <c r="P4" s="6">
        <v>0.32100000000000001</v>
      </c>
      <c r="Q4" s="6">
        <v>0.32</v>
      </c>
      <c r="R4" s="6">
        <v>0.32300000000000001</v>
      </c>
      <c r="S4" s="6">
        <v>0.32200000000000001</v>
      </c>
      <c r="T4" s="6">
        <v>0.31900000000000001</v>
      </c>
      <c r="U4" s="5">
        <f>AVERAGE(A4:T4)</f>
        <v>0.32070000000000004</v>
      </c>
      <c r="V4" s="5">
        <f t="shared" ref="V4:V20" si="0">VARA(A4:T4)</f>
        <v>2.2210526315789517E-6</v>
      </c>
      <c r="W4" s="8">
        <f t="shared" ref="W4:W20" si="1">STDEV(A4:T4)</f>
        <v>1.4903196407411907E-3</v>
      </c>
      <c r="Y4" s="9">
        <v>0.1111111111111111</v>
      </c>
      <c r="Z4" s="9">
        <f>+Y4-Y3</f>
        <v>1.3888888888888881E-2</v>
      </c>
    </row>
    <row r="5" spans="1:26" x14ac:dyDescent="0.25">
      <c r="A5" s="6">
        <v>0.32100000000000001</v>
      </c>
      <c r="B5" s="6">
        <v>0.31900000000000001</v>
      </c>
      <c r="C5" s="6">
        <v>0.32100000000000001</v>
      </c>
      <c r="D5" s="6">
        <v>0.32</v>
      </c>
      <c r="E5" s="6">
        <v>0.32300000000000001</v>
      </c>
      <c r="F5" s="6">
        <v>0.32100000000000001</v>
      </c>
      <c r="G5" s="6">
        <v>0.32</v>
      </c>
      <c r="H5" s="6">
        <v>0.32</v>
      </c>
      <c r="I5" s="6">
        <v>0.32100000000000001</v>
      </c>
      <c r="J5" s="6">
        <v>0.32100000000000001</v>
      </c>
      <c r="K5" s="6">
        <v>0.32100000000000001</v>
      </c>
      <c r="L5" s="6">
        <v>0.32200000000000001</v>
      </c>
      <c r="M5" s="6">
        <v>0.32200000000000001</v>
      </c>
      <c r="N5" s="6">
        <v>0.32200000000000001</v>
      </c>
      <c r="O5" s="6">
        <v>0.32100000000000001</v>
      </c>
      <c r="P5" s="6">
        <v>0.32400000000000001</v>
      </c>
      <c r="Q5" s="6">
        <v>0.32</v>
      </c>
      <c r="R5" s="6">
        <v>0.32300000000000001</v>
      </c>
      <c r="S5" s="6">
        <v>0.32200000000000001</v>
      </c>
      <c r="T5" s="6">
        <v>0.32</v>
      </c>
      <c r="U5" s="5">
        <f t="shared" ref="U5:U16" si="2">AVERAGE(A5:T5)</f>
        <v>0.32120000000000004</v>
      </c>
      <c r="V5" s="5">
        <f t="shared" si="0"/>
        <v>1.5368421052631602E-6</v>
      </c>
      <c r="W5" s="8">
        <f t="shared" si="1"/>
        <v>1.2396943596157724E-3</v>
      </c>
      <c r="Y5" s="9">
        <f>+Y4+$Z$4</f>
        <v>0.12499999999999999</v>
      </c>
    </row>
    <row r="6" spans="1:26" x14ac:dyDescent="0.25">
      <c r="A6" s="6">
        <v>0.32400000000000001</v>
      </c>
      <c r="B6" s="6">
        <v>0.32500000000000001</v>
      </c>
      <c r="C6" s="6">
        <v>0.32500000000000001</v>
      </c>
      <c r="D6" s="6">
        <v>0.32500000000000001</v>
      </c>
      <c r="E6" s="6">
        <v>0.32500000000000001</v>
      </c>
      <c r="F6" s="6">
        <v>0.32400000000000001</v>
      </c>
      <c r="G6" s="6">
        <v>0.32400000000000001</v>
      </c>
      <c r="H6" s="6">
        <v>0.32500000000000001</v>
      </c>
      <c r="I6" s="6">
        <v>0.32400000000000001</v>
      </c>
      <c r="J6" s="6">
        <v>0.32600000000000001</v>
      </c>
      <c r="K6" s="6">
        <v>0.32600000000000001</v>
      </c>
      <c r="L6" s="6">
        <v>0.32700000000000001</v>
      </c>
      <c r="M6" s="6">
        <v>0.32600000000000001</v>
      </c>
      <c r="N6" s="6">
        <v>0.32800000000000001</v>
      </c>
      <c r="O6" s="6">
        <v>0.32600000000000001</v>
      </c>
      <c r="P6" s="6">
        <v>0.32400000000000001</v>
      </c>
      <c r="Q6" s="6">
        <v>0.32600000000000001</v>
      </c>
      <c r="R6" s="6">
        <v>0.32500000000000001</v>
      </c>
      <c r="S6" s="6">
        <v>0.32800000000000001</v>
      </c>
      <c r="T6" s="6">
        <v>0.32600000000000001</v>
      </c>
      <c r="U6" s="5">
        <f t="shared" si="2"/>
        <v>0.32544999999999996</v>
      </c>
      <c r="V6" s="5">
        <f t="shared" si="0"/>
        <v>1.5236842105263186E-6</v>
      </c>
      <c r="W6" s="8">
        <f t="shared" si="1"/>
        <v>1.234376040972247E-3</v>
      </c>
      <c r="Y6" s="9">
        <f t="shared" ref="Y6:Y22" si="3">+Y5+$Z$4</f>
        <v>0.13888888888888887</v>
      </c>
    </row>
    <row r="7" spans="1:26" x14ac:dyDescent="0.25">
      <c r="A7" s="6">
        <v>0.33</v>
      </c>
      <c r="B7" s="6">
        <v>0.32800000000000001</v>
      </c>
      <c r="C7" s="6">
        <v>0.33200000000000002</v>
      </c>
      <c r="D7" s="6">
        <v>0.33</v>
      </c>
      <c r="E7" s="6">
        <v>0.33</v>
      </c>
      <c r="F7" s="6">
        <v>0.32900000000000001</v>
      </c>
      <c r="G7" s="6">
        <v>0.33300000000000002</v>
      </c>
      <c r="H7" s="6">
        <v>0.33300000000000002</v>
      </c>
      <c r="I7" s="6">
        <v>0.32900000000000001</v>
      </c>
      <c r="J7" s="6">
        <v>0.33300000000000002</v>
      </c>
      <c r="K7" s="6">
        <v>0.33100000000000002</v>
      </c>
      <c r="L7" s="6">
        <v>0.33300000000000002</v>
      </c>
      <c r="M7" s="6">
        <v>0.33200000000000002</v>
      </c>
      <c r="N7" s="6">
        <v>0.33300000000000002</v>
      </c>
      <c r="O7" s="6">
        <v>0.33100000000000002</v>
      </c>
      <c r="P7" s="6">
        <v>0.33200000000000002</v>
      </c>
      <c r="Q7" s="6">
        <v>0.33400000000000002</v>
      </c>
      <c r="R7" s="6">
        <v>0.33200000000000002</v>
      </c>
      <c r="S7" s="6">
        <v>0.32900000000000001</v>
      </c>
      <c r="T7" s="6">
        <v>0.32900000000000001</v>
      </c>
      <c r="U7" s="5">
        <f t="shared" si="2"/>
        <v>0.33115</v>
      </c>
      <c r="V7" s="5">
        <f t="shared" si="0"/>
        <v>3.1868421052631641E-6</v>
      </c>
      <c r="W7" s="8">
        <f t="shared" si="1"/>
        <v>1.7851728502481668E-3</v>
      </c>
      <c r="Y7" s="9">
        <f t="shared" si="3"/>
        <v>0.15277777777777773</v>
      </c>
    </row>
    <row r="8" spans="1:26" x14ac:dyDescent="0.25">
      <c r="A8" s="6">
        <v>0.32900000000000001</v>
      </c>
      <c r="B8" s="6">
        <v>0.33100000000000002</v>
      </c>
      <c r="C8" s="6">
        <v>0.32900000000000001</v>
      </c>
      <c r="D8" s="6">
        <v>0.33200000000000002</v>
      </c>
      <c r="E8" s="6">
        <v>0.33</v>
      </c>
      <c r="F8" s="6">
        <v>0.32900000000000001</v>
      </c>
      <c r="G8" s="6">
        <v>0.33200000000000002</v>
      </c>
      <c r="H8" s="6">
        <v>0.33</v>
      </c>
      <c r="I8" s="6">
        <v>0.32800000000000001</v>
      </c>
      <c r="J8" s="6">
        <v>0.33</v>
      </c>
      <c r="K8" s="6">
        <v>0.33100000000000002</v>
      </c>
      <c r="L8" s="6">
        <v>0.33100000000000002</v>
      </c>
      <c r="M8" s="6">
        <v>0.33</v>
      </c>
      <c r="N8" s="6">
        <v>0.33</v>
      </c>
      <c r="O8" s="6">
        <v>0.33</v>
      </c>
      <c r="P8" s="6">
        <v>0.32500000000000001</v>
      </c>
      <c r="Q8" s="6">
        <v>0.32600000000000001</v>
      </c>
      <c r="R8" s="6">
        <v>0.32800000000000001</v>
      </c>
      <c r="S8" s="6">
        <v>0.33200000000000002</v>
      </c>
      <c r="T8" s="6">
        <v>0.33400000000000002</v>
      </c>
      <c r="U8" s="5">
        <f t="shared" si="2"/>
        <v>0.32984999999999998</v>
      </c>
      <c r="V8" s="5">
        <f t="shared" si="0"/>
        <v>4.3447368421052706E-6</v>
      </c>
      <c r="W8" s="8">
        <f t="shared" si="1"/>
        <v>2.0844032340469228E-3</v>
      </c>
      <c r="Y8" s="9">
        <f t="shared" si="3"/>
        <v>0.16666666666666663</v>
      </c>
    </row>
    <row r="9" spans="1:26" x14ac:dyDescent="0.25">
      <c r="A9" s="6">
        <v>0.32900000000000001</v>
      </c>
      <c r="B9" s="6">
        <v>0.32900000000000001</v>
      </c>
      <c r="C9" s="6">
        <v>0.32500000000000001</v>
      </c>
      <c r="D9" s="6">
        <v>0.32700000000000001</v>
      </c>
      <c r="E9" s="6">
        <v>0.32900000000000001</v>
      </c>
      <c r="F9" s="6">
        <v>0.32600000000000001</v>
      </c>
      <c r="G9" s="6">
        <v>0.32700000000000001</v>
      </c>
      <c r="H9" s="6">
        <v>0.32800000000000001</v>
      </c>
      <c r="I9" s="6">
        <v>0.32600000000000001</v>
      </c>
      <c r="J9" s="6">
        <v>0.32800000000000001</v>
      </c>
      <c r="K9" s="6">
        <v>0.32300000000000001</v>
      </c>
      <c r="L9" s="6">
        <v>0.32700000000000001</v>
      </c>
      <c r="M9" s="6">
        <v>0.32700000000000001</v>
      </c>
      <c r="N9" s="6">
        <v>0.32700000000000001</v>
      </c>
      <c r="O9" s="6">
        <v>0.32700000000000001</v>
      </c>
      <c r="P9" s="6">
        <v>0.32900000000000001</v>
      </c>
      <c r="Q9" s="6">
        <v>0.32800000000000001</v>
      </c>
      <c r="R9" s="6">
        <v>0.32700000000000001</v>
      </c>
      <c r="S9" s="6">
        <v>0.32600000000000001</v>
      </c>
      <c r="T9" s="6">
        <v>0.32900000000000001</v>
      </c>
      <c r="U9" s="5">
        <f t="shared" si="2"/>
        <v>0.32719999999999999</v>
      </c>
      <c r="V9" s="5">
        <f t="shared" si="0"/>
        <v>2.3789473684210572E-6</v>
      </c>
      <c r="W9" s="8">
        <f t="shared" si="1"/>
        <v>1.5423836644690766E-3</v>
      </c>
      <c r="Y9" s="9">
        <f t="shared" si="3"/>
        <v>0.18055555555555552</v>
      </c>
    </row>
    <row r="10" spans="1:26" x14ac:dyDescent="0.25">
      <c r="A10" s="6">
        <v>0.32700000000000001</v>
      </c>
      <c r="B10" s="6">
        <v>0.32400000000000001</v>
      </c>
      <c r="C10" s="6">
        <v>0.32500000000000001</v>
      </c>
      <c r="D10" s="6">
        <v>0.32600000000000001</v>
      </c>
      <c r="E10" s="6">
        <v>0.32700000000000001</v>
      </c>
      <c r="F10" s="6">
        <v>0.32600000000000001</v>
      </c>
      <c r="G10" s="6">
        <v>0.32600000000000001</v>
      </c>
      <c r="H10" s="6">
        <v>0.32700000000000001</v>
      </c>
      <c r="I10" s="6">
        <v>0.32600000000000001</v>
      </c>
      <c r="J10" s="6">
        <v>0.32600000000000001</v>
      </c>
      <c r="K10" s="6">
        <v>0.32700000000000001</v>
      </c>
      <c r="L10" s="6">
        <v>0.32800000000000001</v>
      </c>
      <c r="M10" s="6">
        <v>0.32700000000000001</v>
      </c>
      <c r="N10" s="6">
        <v>0.32500000000000001</v>
      </c>
      <c r="O10" s="6">
        <v>0.32600000000000001</v>
      </c>
      <c r="P10" s="6">
        <v>0.32400000000000001</v>
      </c>
      <c r="Q10" s="6">
        <v>0.32500000000000001</v>
      </c>
      <c r="R10" s="6">
        <v>0.32600000000000001</v>
      </c>
      <c r="S10" s="6">
        <v>0.32600000000000001</v>
      </c>
      <c r="T10" s="6">
        <v>0.32400000000000001</v>
      </c>
      <c r="U10" s="5">
        <f t="shared" si="2"/>
        <v>0.32589999999999997</v>
      </c>
      <c r="V10" s="5">
        <f t="shared" si="0"/>
        <v>1.2526315789473706E-6</v>
      </c>
      <c r="W10" s="8">
        <f t="shared" si="1"/>
        <v>1.1192102478745317E-3</v>
      </c>
      <c r="Y10" s="9">
        <f t="shared" si="3"/>
        <v>0.19444444444444442</v>
      </c>
    </row>
    <row r="11" spans="1:26" x14ac:dyDescent="0.25">
      <c r="A11" s="6">
        <v>0.32100000000000001</v>
      </c>
      <c r="B11" s="6">
        <v>0.32400000000000001</v>
      </c>
      <c r="C11" s="6">
        <v>0.32700000000000001</v>
      </c>
      <c r="D11" s="6">
        <v>0.32400000000000001</v>
      </c>
      <c r="E11" s="6">
        <v>0.32600000000000001</v>
      </c>
      <c r="F11" s="6">
        <v>0.32500000000000001</v>
      </c>
      <c r="G11" s="6">
        <v>0.32500000000000001</v>
      </c>
      <c r="H11" s="6">
        <v>0.32500000000000001</v>
      </c>
      <c r="I11" s="6">
        <v>0.32500000000000001</v>
      </c>
      <c r="J11" s="6">
        <v>0.32400000000000001</v>
      </c>
      <c r="K11" s="6">
        <v>0.32300000000000001</v>
      </c>
      <c r="L11" s="6">
        <v>0.32300000000000001</v>
      </c>
      <c r="M11" s="6">
        <v>0.32100000000000001</v>
      </c>
      <c r="N11" s="6">
        <v>0.32600000000000001</v>
      </c>
      <c r="O11" s="6">
        <v>0.32400000000000001</v>
      </c>
      <c r="P11" s="6">
        <v>0.32400000000000001</v>
      </c>
      <c r="Q11" s="6">
        <v>0.32400000000000001</v>
      </c>
      <c r="R11" s="6">
        <v>0.32200000000000001</v>
      </c>
      <c r="S11" s="6">
        <v>0.32500000000000001</v>
      </c>
      <c r="T11" s="6">
        <v>0.32400000000000001</v>
      </c>
      <c r="U11" s="5">
        <f t="shared" si="2"/>
        <v>0.32409999999999994</v>
      </c>
      <c r="V11" s="5">
        <f t="shared" si="0"/>
        <v>2.4105263157894782E-6</v>
      </c>
      <c r="W11" s="8">
        <f t="shared" si="1"/>
        <v>1.5525869752736812E-3</v>
      </c>
      <c r="Y11" s="9">
        <f t="shared" si="3"/>
        <v>0.20833333333333331</v>
      </c>
    </row>
    <row r="12" spans="1:26" x14ac:dyDescent="0.25">
      <c r="A12" s="6">
        <v>0.32600000000000001</v>
      </c>
      <c r="B12" s="6">
        <v>0.32500000000000001</v>
      </c>
      <c r="C12" s="6">
        <v>0.32300000000000001</v>
      </c>
      <c r="D12" s="6">
        <v>0.32300000000000001</v>
      </c>
      <c r="E12" s="6">
        <v>0.32200000000000001</v>
      </c>
      <c r="F12" s="6">
        <v>0.32500000000000001</v>
      </c>
      <c r="G12" s="6">
        <v>0.32600000000000001</v>
      </c>
      <c r="H12" s="6">
        <v>0.32500000000000001</v>
      </c>
      <c r="I12" s="6">
        <v>0.32200000000000001</v>
      </c>
      <c r="J12" s="6">
        <v>0.32500000000000001</v>
      </c>
      <c r="K12" s="6">
        <v>0.32300000000000001</v>
      </c>
      <c r="L12" s="6">
        <v>0.32600000000000001</v>
      </c>
      <c r="M12" s="6">
        <v>0.32300000000000001</v>
      </c>
      <c r="N12" s="6">
        <v>0.32600000000000001</v>
      </c>
      <c r="O12" s="6">
        <v>0.32400000000000001</v>
      </c>
      <c r="P12" s="6">
        <v>0.32400000000000001</v>
      </c>
      <c r="Q12" s="6">
        <v>0.32500000000000001</v>
      </c>
      <c r="R12" s="6">
        <v>0.32400000000000001</v>
      </c>
      <c r="S12" s="6">
        <v>0.32600000000000001</v>
      </c>
      <c r="T12" s="6">
        <v>0.32700000000000001</v>
      </c>
      <c r="U12" s="5">
        <f t="shared" si="2"/>
        <v>0.32449999999999996</v>
      </c>
      <c r="V12" s="5">
        <f t="shared" si="0"/>
        <v>2.1578947368421092E-6</v>
      </c>
      <c r="W12" s="8">
        <f t="shared" si="1"/>
        <v>1.4689774459950395E-3</v>
      </c>
      <c r="Y12" s="9">
        <f t="shared" si="3"/>
        <v>0.22222222222222221</v>
      </c>
    </row>
    <row r="13" spans="1:26" x14ac:dyDescent="0.25">
      <c r="A13" s="6">
        <v>0.32500000000000001</v>
      </c>
      <c r="B13" s="6">
        <v>0.32500000000000001</v>
      </c>
      <c r="C13" s="6">
        <v>0.32700000000000001</v>
      </c>
      <c r="D13" s="6">
        <v>0.32800000000000001</v>
      </c>
      <c r="E13" s="6">
        <v>0.32700000000000001</v>
      </c>
      <c r="F13" s="6">
        <v>0.32800000000000001</v>
      </c>
      <c r="G13" s="6">
        <v>0.32500000000000001</v>
      </c>
      <c r="H13" s="6">
        <v>0.32800000000000001</v>
      </c>
      <c r="I13" s="6">
        <v>0.32800000000000001</v>
      </c>
      <c r="J13" s="6">
        <v>0.32500000000000001</v>
      </c>
      <c r="K13" s="6">
        <v>0.32600000000000001</v>
      </c>
      <c r="L13" s="6">
        <v>0.32700000000000001</v>
      </c>
      <c r="M13" s="6">
        <v>0.32600000000000001</v>
      </c>
      <c r="N13" s="6">
        <v>0.32800000000000001</v>
      </c>
      <c r="O13" s="6">
        <v>0.33</v>
      </c>
      <c r="P13" s="6">
        <v>0.32500000000000001</v>
      </c>
      <c r="Q13" s="6">
        <v>0.32500000000000001</v>
      </c>
      <c r="R13" s="6">
        <v>0.32800000000000001</v>
      </c>
      <c r="S13" s="6">
        <v>0.32500000000000001</v>
      </c>
      <c r="T13" s="6">
        <v>0.32600000000000001</v>
      </c>
      <c r="U13" s="5">
        <f t="shared" si="2"/>
        <v>0.32660000000000006</v>
      </c>
      <c r="V13" s="5">
        <f t="shared" si="0"/>
        <v>2.2526315789473723E-6</v>
      </c>
      <c r="W13" s="8">
        <f t="shared" si="1"/>
        <v>1.5008769366431653E-3</v>
      </c>
      <c r="Y13" s="9">
        <f t="shared" si="3"/>
        <v>0.2361111111111111</v>
      </c>
    </row>
    <row r="14" spans="1:26" x14ac:dyDescent="0.25">
      <c r="A14" s="6">
        <v>0.32800000000000001</v>
      </c>
      <c r="B14" s="6">
        <v>0.32900000000000001</v>
      </c>
      <c r="C14" s="6">
        <v>0.33200000000000002</v>
      </c>
      <c r="D14" s="6">
        <v>0.32800000000000001</v>
      </c>
      <c r="E14" s="6">
        <v>0.33200000000000002</v>
      </c>
      <c r="F14" s="6">
        <v>0.32900000000000001</v>
      </c>
      <c r="G14" s="6">
        <v>0.33</v>
      </c>
      <c r="H14" s="6">
        <v>0.33200000000000002</v>
      </c>
      <c r="I14" s="6">
        <v>0.33</v>
      </c>
      <c r="J14" s="6">
        <v>0.33300000000000002</v>
      </c>
      <c r="K14" s="6">
        <v>0.33100000000000002</v>
      </c>
      <c r="L14" s="6">
        <v>0.32900000000000001</v>
      </c>
      <c r="M14" s="6">
        <v>0.33</v>
      </c>
      <c r="N14" s="6">
        <v>0.33300000000000002</v>
      </c>
      <c r="O14" s="6">
        <v>0.33200000000000002</v>
      </c>
      <c r="P14" s="6">
        <v>0.33200000000000002</v>
      </c>
      <c r="Q14" s="6">
        <v>0.32900000000000001</v>
      </c>
      <c r="R14" s="6">
        <v>0.32800000000000001</v>
      </c>
      <c r="S14" s="6">
        <v>0.32700000000000001</v>
      </c>
      <c r="T14" s="6">
        <v>0.32800000000000001</v>
      </c>
      <c r="U14" s="5">
        <f t="shared" si="2"/>
        <v>0.3301</v>
      </c>
      <c r="V14" s="5">
        <f t="shared" si="0"/>
        <v>3.5684210526315852E-6</v>
      </c>
      <c r="W14" s="8">
        <f t="shared" si="1"/>
        <v>1.889026482776667E-3</v>
      </c>
      <c r="Y14" s="9">
        <f t="shared" si="3"/>
        <v>0.25</v>
      </c>
    </row>
    <row r="15" spans="1:26" x14ac:dyDescent="0.25">
      <c r="A15" s="6">
        <v>0.33500000000000002</v>
      </c>
      <c r="B15" s="6">
        <v>0.33300000000000002</v>
      </c>
      <c r="C15" s="6">
        <v>0.33300000000000002</v>
      </c>
      <c r="D15" s="6">
        <v>0.33200000000000002</v>
      </c>
      <c r="E15" s="6">
        <v>0.33200000000000002</v>
      </c>
      <c r="F15" s="6">
        <v>0.33300000000000002</v>
      </c>
      <c r="G15" s="6">
        <v>0.33200000000000002</v>
      </c>
      <c r="H15" s="6">
        <v>0.33200000000000002</v>
      </c>
      <c r="I15" s="6">
        <v>0.33100000000000002</v>
      </c>
      <c r="J15" s="6">
        <v>0.33100000000000002</v>
      </c>
      <c r="K15" s="6">
        <v>0.33300000000000002</v>
      </c>
      <c r="L15" s="6">
        <v>0.33500000000000002</v>
      </c>
      <c r="M15" s="6">
        <v>0.33500000000000002</v>
      </c>
      <c r="N15" s="6">
        <v>0.33500000000000002</v>
      </c>
      <c r="O15" s="6">
        <v>0.33200000000000002</v>
      </c>
      <c r="P15" s="6">
        <v>0.33300000000000002</v>
      </c>
      <c r="Q15" s="6">
        <v>0.33300000000000002</v>
      </c>
      <c r="R15" s="6">
        <v>0.33200000000000002</v>
      </c>
      <c r="S15" s="6">
        <v>0.33300000000000002</v>
      </c>
      <c r="T15" s="6">
        <v>0.33200000000000002</v>
      </c>
      <c r="U15" s="5">
        <f t="shared" si="2"/>
        <v>0.33284999999999998</v>
      </c>
      <c r="V15" s="5">
        <f t="shared" si="0"/>
        <v>1.6078947368421079E-6</v>
      </c>
      <c r="W15" s="8">
        <f t="shared" si="1"/>
        <v>1.268027892769756E-3</v>
      </c>
      <c r="Y15" s="9">
        <f t="shared" si="3"/>
        <v>0.2638888888888889</v>
      </c>
    </row>
    <row r="16" spans="1:26" x14ac:dyDescent="0.25">
      <c r="A16" s="6">
        <v>0.33100000000000002</v>
      </c>
      <c r="B16" s="6">
        <v>0.33</v>
      </c>
      <c r="C16" s="6">
        <v>0.33100000000000002</v>
      </c>
      <c r="D16" s="6">
        <v>0.33</v>
      </c>
      <c r="E16" s="6">
        <v>0.33100000000000002</v>
      </c>
      <c r="F16" s="6">
        <v>0.33200000000000002</v>
      </c>
      <c r="G16" s="6">
        <v>0.33100000000000002</v>
      </c>
      <c r="H16" s="6">
        <v>0.33300000000000002</v>
      </c>
      <c r="I16" s="6">
        <v>0.33200000000000002</v>
      </c>
      <c r="J16" s="6">
        <v>0.33300000000000002</v>
      </c>
      <c r="K16" s="6">
        <v>0.33400000000000002</v>
      </c>
      <c r="L16" s="6">
        <v>0.33200000000000002</v>
      </c>
      <c r="M16" s="6">
        <v>0.33100000000000002</v>
      </c>
      <c r="N16" s="6">
        <v>0.33</v>
      </c>
      <c r="O16" s="6">
        <v>0.32900000000000001</v>
      </c>
      <c r="P16" s="6">
        <v>0.33100000000000002</v>
      </c>
      <c r="Q16" s="6">
        <v>0.33200000000000002</v>
      </c>
      <c r="R16" s="6">
        <v>0.32900000000000001</v>
      </c>
      <c r="S16" s="6">
        <v>0.32900000000000001</v>
      </c>
      <c r="T16" s="6">
        <v>0.33200000000000002</v>
      </c>
      <c r="U16" s="5">
        <f t="shared" si="2"/>
        <v>0.33115</v>
      </c>
      <c r="V16" s="5">
        <f t="shared" si="0"/>
        <v>1.9236842105263192E-6</v>
      </c>
      <c r="W16" s="8">
        <f t="shared" si="1"/>
        <v>1.3869694338832126E-3</v>
      </c>
      <c r="Y16" s="9">
        <f t="shared" si="3"/>
        <v>0.27777777777777779</v>
      </c>
    </row>
    <row r="17" spans="1:25" x14ac:dyDescent="0.25">
      <c r="A17" s="6">
        <v>0.32600000000000001</v>
      </c>
      <c r="B17" s="6">
        <v>0.32600000000000001</v>
      </c>
      <c r="C17" s="6">
        <v>0.32800000000000001</v>
      </c>
      <c r="D17" s="6">
        <v>0.32800000000000001</v>
      </c>
      <c r="E17" s="6">
        <v>0.32800000000000001</v>
      </c>
      <c r="F17" s="6">
        <v>0.33</v>
      </c>
      <c r="G17" s="6">
        <v>0.32800000000000001</v>
      </c>
      <c r="H17" s="6">
        <v>0.33</v>
      </c>
      <c r="I17" s="6">
        <v>0.32800000000000001</v>
      </c>
      <c r="J17" s="6">
        <v>0.32800000000000001</v>
      </c>
      <c r="K17" s="6">
        <v>0.32800000000000001</v>
      </c>
      <c r="L17" s="6">
        <v>0.32900000000000001</v>
      </c>
      <c r="M17" s="6">
        <v>0.32900000000000001</v>
      </c>
      <c r="N17" s="6">
        <v>0.32900000000000001</v>
      </c>
      <c r="O17" s="6">
        <v>0.32800000000000001</v>
      </c>
      <c r="P17" s="6">
        <v>0.32800000000000001</v>
      </c>
      <c r="Q17" s="6">
        <v>0.32800000000000001</v>
      </c>
      <c r="R17" s="6">
        <v>0.32800000000000001</v>
      </c>
      <c r="S17" s="6">
        <v>0.33100000000000002</v>
      </c>
      <c r="T17" s="6">
        <v>0.32700000000000001</v>
      </c>
      <c r="U17" s="5">
        <f t="shared" ref="U17:U20" si="4">AVERAGE(A17:T17)</f>
        <v>0.32825000000000004</v>
      </c>
      <c r="V17" s="5">
        <f t="shared" si="0"/>
        <v>1.4605263157894765E-6</v>
      </c>
      <c r="W17" s="8">
        <f t="shared" si="1"/>
        <v>1.2085223687584258E-3</v>
      </c>
      <c r="Y17" s="9">
        <f t="shared" si="3"/>
        <v>0.29166666666666669</v>
      </c>
    </row>
    <row r="18" spans="1:25" x14ac:dyDescent="0.25">
      <c r="A18" s="6">
        <v>0.32600000000000001</v>
      </c>
      <c r="B18" s="6">
        <v>0.32400000000000001</v>
      </c>
      <c r="C18" s="6">
        <v>0.32600000000000001</v>
      </c>
      <c r="D18" s="6">
        <v>0.32800000000000001</v>
      </c>
      <c r="E18" s="6">
        <v>0.32800000000000001</v>
      </c>
      <c r="F18" s="6">
        <v>0.32700000000000001</v>
      </c>
      <c r="G18" s="6">
        <v>0.32500000000000001</v>
      </c>
      <c r="H18" s="6">
        <v>0.32800000000000001</v>
      </c>
      <c r="I18" s="6">
        <v>0.32900000000000001</v>
      </c>
      <c r="J18" s="6">
        <v>0.33</v>
      </c>
      <c r="K18" s="6">
        <v>0.32700000000000001</v>
      </c>
      <c r="L18" s="6">
        <v>0.32900000000000001</v>
      </c>
      <c r="M18" s="6">
        <v>0.32700000000000001</v>
      </c>
      <c r="N18" s="6">
        <v>0.32700000000000001</v>
      </c>
      <c r="O18" s="6">
        <v>0.32800000000000001</v>
      </c>
      <c r="P18" s="6">
        <v>0.32800000000000001</v>
      </c>
      <c r="Q18" s="6">
        <v>0.32700000000000001</v>
      </c>
      <c r="R18" s="6">
        <v>0.32700000000000001</v>
      </c>
      <c r="S18" s="6">
        <v>0.32800000000000001</v>
      </c>
      <c r="T18" s="6">
        <v>0.32800000000000001</v>
      </c>
      <c r="U18" s="5">
        <f t="shared" si="4"/>
        <v>0.32735000000000009</v>
      </c>
      <c r="V18" s="5">
        <f t="shared" si="0"/>
        <v>1.92368421052632E-6</v>
      </c>
      <c r="W18" s="8">
        <f t="shared" si="1"/>
        <v>1.3869694338832128E-3</v>
      </c>
      <c r="Y18" s="9">
        <f t="shared" si="3"/>
        <v>0.30555555555555558</v>
      </c>
    </row>
    <row r="19" spans="1:25" x14ac:dyDescent="0.25">
      <c r="A19" s="6">
        <v>0.32500000000000001</v>
      </c>
      <c r="B19" s="6">
        <v>0.32400000000000001</v>
      </c>
      <c r="C19" s="6">
        <v>0.32400000000000001</v>
      </c>
      <c r="D19" s="6">
        <v>0.32600000000000001</v>
      </c>
      <c r="E19" s="6">
        <v>0.32400000000000001</v>
      </c>
      <c r="F19" s="6">
        <v>0.32400000000000001</v>
      </c>
      <c r="G19" s="6">
        <v>0.32500000000000001</v>
      </c>
      <c r="H19" s="6">
        <v>0.32500000000000001</v>
      </c>
      <c r="I19" s="6">
        <v>0.32400000000000001</v>
      </c>
      <c r="J19" s="6">
        <v>0.32400000000000001</v>
      </c>
      <c r="K19" s="6">
        <v>0.32500000000000001</v>
      </c>
      <c r="L19" s="6">
        <v>0.32300000000000001</v>
      </c>
      <c r="M19" s="6">
        <v>0.32300000000000001</v>
      </c>
      <c r="N19" s="6">
        <v>0.32200000000000001</v>
      </c>
      <c r="O19" s="6">
        <v>0.32400000000000001</v>
      </c>
      <c r="P19" s="6">
        <v>0.32300000000000001</v>
      </c>
      <c r="Q19" s="6">
        <v>0.32300000000000001</v>
      </c>
      <c r="R19" s="6">
        <v>0.32500000000000001</v>
      </c>
      <c r="S19" s="6">
        <v>0.32500000000000001</v>
      </c>
      <c r="T19" s="6">
        <v>0.32700000000000001</v>
      </c>
      <c r="U19" s="5">
        <f t="shared" si="4"/>
        <v>0.32425000000000004</v>
      </c>
      <c r="V19" s="5">
        <f t="shared" si="0"/>
        <v>1.3552631578947394E-6</v>
      </c>
      <c r="W19" s="8">
        <f t="shared" si="1"/>
        <v>1.164157703189194E-3</v>
      </c>
      <c r="Y19" s="9">
        <f t="shared" si="3"/>
        <v>0.31944444444444448</v>
      </c>
    </row>
    <row r="20" spans="1:25" x14ac:dyDescent="0.25">
      <c r="A20" s="6">
        <v>0.32300000000000001</v>
      </c>
      <c r="B20" s="6">
        <v>0.32</v>
      </c>
      <c r="C20" s="6">
        <v>0.32300000000000001</v>
      </c>
      <c r="D20" s="6">
        <v>0.32600000000000001</v>
      </c>
      <c r="E20" s="6">
        <v>0.32300000000000001</v>
      </c>
      <c r="F20" s="6">
        <v>0.32200000000000001</v>
      </c>
      <c r="G20" s="6">
        <v>0.32300000000000001</v>
      </c>
      <c r="H20" s="6">
        <v>0.32400000000000001</v>
      </c>
      <c r="I20" s="6">
        <v>0.32700000000000001</v>
      </c>
      <c r="J20" s="6">
        <v>0.32300000000000001</v>
      </c>
      <c r="K20" s="6">
        <v>0.32400000000000001</v>
      </c>
      <c r="L20" s="6">
        <v>0.32100000000000001</v>
      </c>
      <c r="M20" s="6">
        <v>0.32300000000000001</v>
      </c>
      <c r="N20" s="6">
        <v>0.32600000000000001</v>
      </c>
      <c r="O20" s="6">
        <v>0.32500000000000001</v>
      </c>
      <c r="P20" s="6">
        <v>0.32500000000000001</v>
      </c>
      <c r="Q20" s="6">
        <v>0.32300000000000001</v>
      </c>
      <c r="R20" s="6">
        <v>0.32400000000000001</v>
      </c>
      <c r="S20" s="6">
        <v>0.32300000000000001</v>
      </c>
      <c r="T20" s="6">
        <v>0.32100000000000001</v>
      </c>
      <c r="U20" s="5">
        <f t="shared" si="4"/>
        <v>0.32345000000000002</v>
      </c>
      <c r="V20" s="5">
        <f t="shared" si="0"/>
        <v>3.102631578947373E-6</v>
      </c>
      <c r="W20" s="8">
        <f t="shared" si="1"/>
        <v>1.7614288458372006E-3</v>
      </c>
      <c r="Y20" s="9">
        <f t="shared" si="3"/>
        <v>0.33333333333333337</v>
      </c>
    </row>
    <row r="21" spans="1:25" x14ac:dyDescent="0.25">
      <c r="A21" s="6">
        <v>0.32</v>
      </c>
      <c r="B21" s="6">
        <v>0.31900000000000001</v>
      </c>
      <c r="C21" s="6">
        <v>0.32200000000000001</v>
      </c>
      <c r="D21" s="6">
        <v>0.32200000000000001</v>
      </c>
      <c r="E21" s="6">
        <v>0.32</v>
      </c>
      <c r="F21" s="6">
        <v>0.32100000000000001</v>
      </c>
      <c r="G21" s="6">
        <v>0.32100000000000001</v>
      </c>
      <c r="H21" s="6">
        <v>0.31900000000000001</v>
      </c>
      <c r="I21" s="6">
        <v>0.32</v>
      </c>
      <c r="J21" s="6">
        <v>0.32200000000000001</v>
      </c>
      <c r="K21" s="6">
        <v>0.32300000000000001</v>
      </c>
      <c r="L21" s="6">
        <v>0.32400000000000001</v>
      </c>
      <c r="M21" s="6">
        <v>0.32100000000000001</v>
      </c>
      <c r="N21" s="6">
        <v>0.32200000000000001</v>
      </c>
      <c r="O21" s="6">
        <v>0.32300000000000001</v>
      </c>
      <c r="P21" s="6">
        <v>0.32200000000000001</v>
      </c>
      <c r="Q21" s="6">
        <v>0.32400000000000001</v>
      </c>
      <c r="R21" s="6">
        <v>0.32100000000000001</v>
      </c>
      <c r="S21" s="6">
        <v>0.32100000000000001</v>
      </c>
      <c r="T21" s="6">
        <v>0.32</v>
      </c>
      <c r="U21" s="5">
        <f t="shared" ref="U21:U22" si="5">AVERAGE(A21:T21)</f>
        <v>0.32134999999999997</v>
      </c>
      <c r="V21" s="5">
        <f t="shared" ref="V21:V22" si="6">VARA(A21:T21)</f>
        <v>2.134210526315793E-6</v>
      </c>
      <c r="W21" s="8">
        <f t="shared" ref="W21:W22" si="7">STDEV(A21:T21)</f>
        <v>1.4608937423083834E-3</v>
      </c>
      <c r="Y21" s="9">
        <f t="shared" si="3"/>
        <v>0.34722222222222227</v>
      </c>
    </row>
    <row r="22" spans="1:25" x14ac:dyDescent="0.25">
      <c r="A22" s="6">
        <v>0.32200000000000001</v>
      </c>
      <c r="B22" s="6">
        <v>0.32300000000000001</v>
      </c>
      <c r="C22" s="6">
        <v>0.32200000000000001</v>
      </c>
      <c r="D22" s="6">
        <v>0.32200000000000001</v>
      </c>
      <c r="E22" s="6">
        <v>0.32300000000000001</v>
      </c>
      <c r="F22" s="6">
        <v>0.32200000000000001</v>
      </c>
      <c r="G22" s="6">
        <v>0.32300000000000001</v>
      </c>
      <c r="H22" s="6">
        <v>0.32</v>
      </c>
      <c r="I22" s="6">
        <v>0.32300000000000001</v>
      </c>
      <c r="J22" s="6">
        <v>0.32400000000000001</v>
      </c>
      <c r="K22" s="6">
        <v>0.32</v>
      </c>
      <c r="L22" s="6">
        <v>0.32</v>
      </c>
      <c r="M22" s="6">
        <v>0.32200000000000001</v>
      </c>
      <c r="N22" s="6">
        <v>0.32300000000000001</v>
      </c>
      <c r="O22" s="6">
        <v>0.32400000000000001</v>
      </c>
      <c r="P22" s="6">
        <v>0.32300000000000001</v>
      </c>
      <c r="Q22" s="6">
        <v>0.32200000000000001</v>
      </c>
      <c r="R22" s="6">
        <v>0.31900000000000001</v>
      </c>
      <c r="S22" s="6">
        <v>0.32100000000000001</v>
      </c>
      <c r="T22" s="6">
        <v>0.32300000000000001</v>
      </c>
      <c r="U22" s="5">
        <f t="shared" si="5"/>
        <v>0.32205</v>
      </c>
      <c r="V22" s="5">
        <f t="shared" si="6"/>
        <v>1.9447368421052669E-6</v>
      </c>
      <c r="W22" s="8">
        <f t="shared" si="7"/>
        <v>1.3945382182304173E-3</v>
      </c>
      <c r="X22" s="9">
        <f>+X3+Y22+Y3</f>
        <v>0.87500000000000011</v>
      </c>
      <c r="Y22" s="9">
        <f t="shared" si="3"/>
        <v>0.36111111111111116</v>
      </c>
    </row>
    <row r="23" spans="1:25" x14ac:dyDescent="0.25">
      <c r="U23" s="11">
        <f>AVERAGE(U3:U22)</f>
        <v>0.32597500000000001</v>
      </c>
      <c r="V23" s="11">
        <f>AVERAGE(V3:V22)</f>
        <v>2.2115789473684251E-6</v>
      </c>
      <c r="W23" s="11">
        <f>AVERAGE(W3:W22)</f>
        <v>1.4666536867873341E-3</v>
      </c>
    </row>
    <row r="24" spans="1:25" x14ac:dyDescent="0.25">
      <c r="U24" s="7"/>
      <c r="V24" s="7"/>
      <c r="W24" s="7"/>
    </row>
    <row r="25" spans="1:25" ht="18" x14ac:dyDescent="0.25">
      <c r="A25" s="1" t="s">
        <v>3</v>
      </c>
      <c r="U25" s="4" t="s">
        <v>9</v>
      </c>
      <c r="V25" s="4" t="s">
        <v>10</v>
      </c>
      <c r="W25" s="4" t="s">
        <v>11</v>
      </c>
    </row>
    <row r="26" spans="1:25" x14ac:dyDescent="0.25">
      <c r="A26" s="6">
        <v>0.308</v>
      </c>
      <c r="B26" s="6">
        <v>0.31</v>
      </c>
      <c r="C26" s="6">
        <v>0.308</v>
      </c>
      <c r="D26" s="6">
        <v>0.308</v>
      </c>
      <c r="E26" s="6">
        <v>0.31</v>
      </c>
      <c r="F26" s="6">
        <v>0.309</v>
      </c>
      <c r="G26" s="6">
        <v>0.31</v>
      </c>
      <c r="H26" s="6">
        <v>0.309</v>
      </c>
      <c r="I26" s="6">
        <v>0.311</v>
      </c>
      <c r="J26" s="6">
        <v>0.311</v>
      </c>
      <c r="K26" s="6">
        <v>0.309</v>
      </c>
      <c r="L26" s="6">
        <v>0.309</v>
      </c>
      <c r="M26" s="6">
        <v>0.308</v>
      </c>
      <c r="N26" s="6">
        <v>0.308</v>
      </c>
      <c r="O26" s="6">
        <v>0.31</v>
      </c>
      <c r="P26" s="6">
        <v>0.31</v>
      </c>
      <c r="Q26" s="6">
        <v>0.308</v>
      </c>
      <c r="R26" s="6">
        <v>0.31</v>
      </c>
      <c r="S26" s="6">
        <v>0.309</v>
      </c>
      <c r="T26" s="6">
        <v>0.309</v>
      </c>
      <c r="U26" s="5">
        <f>AVERAGE(A26:T26)</f>
        <v>0.30919999999999997</v>
      </c>
      <c r="V26" s="5">
        <f>VARA(A26:T26)</f>
        <v>1.0105263157894757E-6</v>
      </c>
      <c r="W26" s="8">
        <f t="shared" ref="W26:W43" si="8">STDEV(A26:T26)</f>
        <v>1.0052493799000703E-3</v>
      </c>
    </row>
    <row r="27" spans="1:25" x14ac:dyDescent="0.25">
      <c r="A27" s="6">
        <v>0.308</v>
      </c>
      <c r="B27" s="6">
        <v>0.309</v>
      </c>
      <c r="C27" s="6">
        <v>0.309</v>
      </c>
      <c r="D27" s="6">
        <v>0.309</v>
      </c>
      <c r="E27" s="6">
        <v>0.308</v>
      </c>
      <c r="F27" s="6">
        <v>0.309</v>
      </c>
      <c r="G27" s="6">
        <v>0.309</v>
      </c>
      <c r="H27" s="6">
        <v>0.30599999999999999</v>
      </c>
      <c r="I27" s="6">
        <v>0.308</v>
      </c>
      <c r="J27" s="6">
        <v>0.309</v>
      </c>
      <c r="K27" s="6">
        <v>0.309</v>
      </c>
      <c r="L27" s="6">
        <v>0.31</v>
      </c>
      <c r="M27" s="6">
        <v>0.308</v>
      </c>
      <c r="N27" s="6">
        <v>0.31</v>
      </c>
      <c r="O27" s="6">
        <v>0.31</v>
      </c>
      <c r="P27" s="6">
        <v>0.31</v>
      </c>
      <c r="Q27" s="6">
        <v>0.308</v>
      </c>
      <c r="R27" s="6">
        <v>0.309</v>
      </c>
      <c r="S27" s="6">
        <v>0.309</v>
      </c>
      <c r="T27" s="6">
        <v>0.308</v>
      </c>
      <c r="U27" s="5">
        <f>AVERAGE(A27:T27)</f>
        <v>0.30874999999999997</v>
      </c>
      <c r="V27" s="5">
        <f t="shared" ref="V27:V43" si="9">VARA(A27:T27)</f>
        <v>9.3421052631579109E-7</v>
      </c>
      <c r="W27" s="8">
        <f t="shared" si="8"/>
        <v>9.6654566695826181E-4</v>
      </c>
    </row>
    <row r="28" spans="1:25" x14ac:dyDescent="0.25">
      <c r="A28" s="6">
        <v>0.307</v>
      </c>
      <c r="B28" s="6">
        <v>0.309</v>
      </c>
      <c r="C28" s="6">
        <v>0.31</v>
      </c>
      <c r="D28" s="6">
        <v>0.31</v>
      </c>
      <c r="E28" s="6">
        <v>0.309</v>
      </c>
      <c r="F28" s="6">
        <v>0.307</v>
      </c>
      <c r="G28" s="6">
        <v>0.308</v>
      </c>
      <c r="H28" s="6">
        <v>0.31</v>
      </c>
      <c r="I28" s="6">
        <v>0.31</v>
      </c>
      <c r="J28" s="6">
        <v>0.31</v>
      </c>
      <c r="K28" s="6">
        <v>0.308</v>
      </c>
      <c r="L28" s="6">
        <v>0.31</v>
      </c>
      <c r="M28" s="6">
        <v>0.31</v>
      </c>
      <c r="N28" s="6">
        <v>0.31</v>
      </c>
      <c r="O28" s="6">
        <v>0.31</v>
      </c>
      <c r="P28" s="6">
        <v>0.31</v>
      </c>
      <c r="Q28" s="6">
        <v>0.31</v>
      </c>
      <c r="R28" s="6">
        <v>0.311</v>
      </c>
      <c r="S28" s="6">
        <v>0.312</v>
      </c>
      <c r="T28" s="6">
        <v>0.308</v>
      </c>
      <c r="U28" s="5">
        <f t="shared" ref="U28:U38" si="10">AVERAGE(A28:T28)</f>
        <v>0.30944999999999989</v>
      </c>
      <c r="V28" s="5">
        <f t="shared" si="9"/>
        <v>1.6289473684210561E-6</v>
      </c>
      <c r="W28" s="8">
        <f t="shared" si="8"/>
        <v>1.2763022245616655E-3</v>
      </c>
    </row>
    <row r="29" spans="1:25" x14ac:dyDescent="0.25">
      <c r="A29" s="6">
        <v>0.312</v>
      </c>
      <c r="B29" s="6">
        <v>0.312</v>
      </c>
      <c r="C29" s="6">
        <v>0.312</v>
      </c>
      <c r="D29" s="6">
        <v>0.314</v>
      </c>
      <c r="E29" s="6">
        <v>0.313</v>
      </c>
      <c r="F29" s="6">
        <v>0.314</v>
      </c>
      <c r="G29" s="6">
        <v>0.313</v>
      </c>
      <c r="H29" s="6">
        <v>0.312</v>
      </c>
      <c r="I29" s="6">
        <v>0.312</v>
      </c>
      <c r="J29" s="6">
        <v>0.314</v>
      </c>
      <c r="K29" s="6">
        <v>0.312</v>
      </c>
      <c r="L29" s="6">
        <v>0.312</v>
      </c>
      <c r="M29" s="6">
        <v>0.313</v>
      </c>
      <c r="N29" s="6">
        <v>0.314</v>
      </c>
      <c r="O29" s="6">
        <v>0.312</v>
      </c>
      <c r="P29" s="6">
        <v>0.313</v>
      </c>
      <c r="Q29" s="6">
        <v>0.314</v>
      </c>
      <c r="R29" s="6">
        <v>0.312</v>
      </c>
      <c r="S29" s="6">
        <v>0.313</v>
      </c>
      <c r="T29" s="6">
        <v>0.313</v>
      </c>
      <c r="U29" s="5">
        <f t="shared" si="10"/>
        <v>0.31279999999999997</v>
      </c>
      <c r="V29" s="5">
        <f t="shared" si="9"/>
        <v>6.947368421052644E-7</v>
      </c>
      <c r="W29" s="8">
        <f t="shared" si="8"/>
        <v>8.335087534664914E-4</v>
      </c>
    </row>
    <row r="30" spans="1:25" x14ac:dyDescent="0.25">
      <c r="A30" s="6">
        <v>0.315</v>
      </c>
      <c r="B30" s="6">
        <v>0.315</v>
      </c>
      <c r="C30" s="6">
        <v>0.317</v>
      </c>
      <c r="D30" s="6">
        <v>0.317</v>
      </c>
      <c r="E30" s="6">
        <v>0.317</v>
      </c>
      <c r="F30" s="6">
        <v>0.317</v>
      </c>
      <c r="G30" s="6">
        <v>0.31900000000000001</v>
      </c>
      <c r="H30" s="6">
        <v>0.317</v>
      </c>
      <c r="I30" s="6">
        <v>0.318</v>
      </c>
      <c r="J30" s="6">
        <v>0.31900000000000001</v>
      </c>
      <c r="K30" s="6">
        <v>0.317</v>
      </c>
      <c r="L30" s="6">
        <v>0.318</v>
      </c>
      <c r="M30" s="6">
        <v>0.317</v>
      </c>
      <c r="N30" s="6">
        <v>0.317</v>
      </c>
      <c r="O30" s="6">
        <v>0.31900000000000001</v>
      </c>
      <c r="P30" s="6">
        <v>0.317</v>
      </c>
      <c r="Q30" s="6">
        <v>0.31900000000000001</v>
      </c>
      <c r="R30" s="6">
        <v>0.31900000000000001</v>
      </c>
      <c r="S30" s="6">
        <v>0.317</v>
      </c>
      <c r="T30" s="6">
        <v>0.316</v>
      </c>
      <c r="U30" s="5">
        <f t="shared" si="10"/>
        <v>0.31735000000000002</v>
      </c>
      <c r="V30" s="5">
        <f t="shared" si="9"/>
        <v>1.5026315789473706E-6</v>
      </c>
      <c r="W30" s="8">
        <f t="shared" si="8"/>
        <v>1.2258187382102506E-3</v>
      </c>
    </row>
    <row r="31" spans="1:25" x14ac:dyDescent="0.25">
      <c r="A31" s="6">
        <v>0.317</v>
      </c>
      <c r="B31" s="6">
        <v>0.315</v>
      </c>
      <c r="C31" s="6">
        <v>0.316</v>
      </c>
      <c r="D31" s="6">
        <v>0.316</v>
      </c>
      <c r="E31" s="6">
        <v>0.316</v>
      </c>
      <c r="F31" s="6">
        <v>0.317</v>
      </c>
      <c r="G31" s="6">
        <v>0.317</v>
      </c>
      <c r="H31" s="6">
        <v>0.318</v>
      </c>
      <c r="I31" s="6">
        <v>0.317</v>
      </c>
      <c r="J31" s="6">
        <v>0.315</v>
      </c>
      <c r="K31" s="6">
        <v>0.316</v>
      </c>
      <c r="L31" s="6">
        <v>0.315</v>
      </c>
      <c r="M31" s="6">
        <v>0.316</v>
      </c>
      <c r="N31" s="6">
        <v>0.316</v>
      </c>
      <c r="O31" s="6">
        <v>0.317</v>
      </c>
      <c r="P31" s="6">
        <v>0.311</v>
      </c>
      <c r="Q31" s="6">
        <v>0.314</v>
      </c>
      <c r="R31" s="6">
        <v>0.314</v>
      </c>
      <c r="S31" s="6">
        <v>0.318</v>
      </c>
      <c r="T31" s="6">
        <v>0.32100000000000001</v>
      </c>
      <c r="U31" s="5">
        <f t="shared" si="10"/>
        <v>0.31609999999999994</v>
      </c>
      <c r="V31" s="5">
        <f t="shared" si="9"/>
        <v>3.884210526315797E-6</v>
      </c>
      <c r="W31" s="8">
        <f t="shared" si="8"/>
        <v>1.9708400559953609E-3</v>
      </c>
    </row>
    <row r="32" spans="1:25" x14ac:dyDescent="0.25">
      <c r="A32" s="6">
        <v>0.316</v>
      </c>
      <c r="B32" s="6">
        <v>0.314</v>
      </c>
      <c r="C32" s="6">
        <v>0.312</v>
      </c>
      <c r="D32" s="6">
        <v>0.314</v>
      </c>
      <c r="E32" s="6">
        <v>0.314</v>
      </c>
      <c r="F32" s="6">
        <v>0.314</v>
      </c>
      <c r="G32" s="6">
        <v>0.314</v>
      </c>
      <c r="H32" s="6">
        <v>0.315</v>
      </c>
      <c r="I32" s="6">
        <v>0.314</v>
      </c>
      <c r="J32" s="6">
        <v>0.312</v>
      </c>
      <c r="K32" s="6">
        <v>0.312</v>
      </c>
      <c r="L32" s="6">
        <v>0.313</v>
      </c>
      <c r="M32" s="6">
        <v>0.314</v>
      </c>
      <c r="N32" s="6">
        <v>0.316</v>
      </c>
      <c r="O32" s="6">
        <v>0.313</v>
      </c>
      <c r="P32" s="6">
        <v>0.318</v>
      </c>
      <c r="Q32" s="6">
        <v>0.313</v>
      </c>
      <c r="R32" s="6">
        <v>0.313</v>
      </c>
      <c r="S32" s="6">
        <v>0.315</v>
      </c>
      <c r="T32" s="6">
        <v>0.314</v>
      </c>
      <c r="U32" s="5">
        <f t="shared" si="10"/>
        <v>0.31399999999999995</v>
      </c>
      <c r="V32" s="5">
        <f t="shared" si="9"/>
        <v>2.210526315789478E-6</v>
      </c>
      <c r="W32" s="8">
        <f t="shared" si="8"/>
        <v>1.4867838833500578E-3</v>
      </c>
    </row>
    <row r="33" spans="1:23" x14ac:dyDescent="0.25">
      <c r="A33" s="6">
        <v>0.313</v>
      </c>
      <c r="B33" s="6">
        <v>0.312</v>
      </c>
      <c r="C33" s="6">
        <v>0.312</v>
      </c>
      <c r="D33" s="6">
        <v>0.312</v>
      </c>
      <c r="E33" s="6">
        <v>0.314</v>
      </c>
      <c r="F33" s="6">
        <v>0.312</v>
      </c>
      <c r="G33" s="6">
        <v>0.313</v>
      </c>
      <c r="H33" s="6">
        <v>0.313</v>
      </c>
      <c r="I33" s="6">
        <v>0.313</v>
      </c>
      <c r="J33" s="6">
        <v>0.315</v>
      </c>
      <c r="K33" s="6">
        <v>0.313</v>
      </c>
      <c r="L33" s="6">
        <v>0.314</v>
      </c>
      <c r="M33" s="6">
        <v>0.312</v>
      </c>
      <c r="N33" s="6">
        <v>0.312</v>
      </c>
      <c r="O33" s="6">
        <v>0.314</v>
      </c>
      <c r="P33" s="6">
        <v>0.313</v>
      </c>
      <c r="Q33" s="6">
        <v>0.314</v>
      </c>
      <c r="R33" s="6">
        <v>0.315</v>
      </c>
      <c r="S33" s="6">
        <v>0.313</v>
      </c>
      <c r="T33" s="6">
        <v>0.314</v>
      </c>
      <c r="U33" s="5">
        <f t="shared" si="10"/>
        <v>0.31315000000000004</v>
      </c>
      <c r="V33" s="5">
        <f t="shared" si="9"/>
        <v>9.763157894736861E-7</v>
      </c>
      <c r="W33" s="8">
        <f t="shared" si="8"/>
        <v>9.8808693416808533E-4</v>
      </c>
    </row>
    <row r="34" spans="1:23" x14ac:dyDescent="0.25">
      <c r="A34" s="6">
        <v>0.31</v>
      </c>
      <c r="B34" s="6">
        <v>0.312</v>
      </c>
      <c r="C34" s="6">
        <v>0.313</v>
      </c>
      <c r="D34" s="6">
        <v>0.314</v>
      </c>
      <c r="E34" s="6">
        <v>0.312</v>
      </c>
      <c r="F34" s="6">
        <v>0.314</v>
      </c>
      <c r="G34" s="6">
        <v>0.311</v>
      </c>
      <c r="H34" s="6">
        <v>0.313</v>
      </c>
      <c r="I34" s="6">
        <v>0.314</v>
      </c>
      <c r="J34" s="6">
        <v>0.312</v>
      </c>
      <c r="K34" s="6">
        <v>0.31</v>
      </c>
      <c r="L34" s="6">
        <v>0.313</v>
      </c>
      <c r="M34" s="6">
        <v>0.31</v>
      </c>
      <c r="N34" s="6">
        <v>0.312</v>
      </c>
      <c r="O34" s="6">
        <v>0.313</v>
      </c>
      <c r="P34" s="6">
        <v>0.313</v>
      </c>
      <c r="Q34" s="6">
        <v>0.312</v>
      </c>
      <c r="R34" s="6">
        <v>0.311</v>
      </c>
      <c r="S34" s="6">
        <v>0.314</v>
      </c>
      <c r="T34" s="6">
        <v>0.31</v>
      </c>
      <c r="U34" s="5">
        <f t="shared" si="10"/>
        <v>0.31215000000000004</v>
      </c>
      <c r="V34" s="5">
        <f t="shared" si="9"/>
        <v>2.0289473684210559E-6</v>
      </c>
      <c r="W34" s="8">
        <f t="shared" si="8"/>
        <v>1.4244112357114627E-3</v>
      </c>
    </row>
    <row r="35" spans="1:23" x14ac:dyDescent="0.25">
      <c r="A35" s="6">
        <v>0.314</v>
      </c>
      <c r="B35" s="6">
        <v>0.312</v>
      </c>
      <c r="C35" s="6">
        <v>0.314</v>
      </c>
      <c r="D35" s="6">
        <v>0.313</v>
      </c>
      <c r="E35" s="6">
        <v>0.312</v>
      </c>
      <c r="F35" s="6">
        <v>0.311</v>
      </c>
      <c r="G35" s="6">
        <v>0.312</v>
      </c>
      <c r="H35" s="6">
        <v>0.311</v>
      </c>
      <c r="I35" s="6">
        <v>0.31</v>
      </c>
      <c r="J35" s="6">
        <v>0.312</v>
      </c>
      <c r="K35" s="6">
        <v>0.313</v>
      </c>
      <c r="L35" s="6">
        <v>0.312</v>
      </c>
      <c r="M35" s="6">
        <v>0.314</v>
      </c>
      <c r="N35" s="6">
        <v>0.312</v>
      </c>
      <c r="O35" s="6">
        <v>0.314</v>
      </c>
      <c r="P35" s="6">
        <v>0.314</v>
      </c>
      <c r="Q35" s="6">
        <v>0.314</v>
      </c>
      <c r="R35" s="6">
        <v>0.314</v>
      </c>
      <c r="S35" s="6">
        <v>0.312</v>
      </c>
      <c r="T35" s="6">
        <v>0.312</v>
      </c>
      <c r="U35" s="5">
        <f t="shared" si="10"/>
        <v>0.31260000000000004</v>
      </c>
      <c r="V35" s="5">
        <f t="shared" si="9"/>
        <v>1.5157894736842133E-6</v>
      </c>
      <c r="W35" s="8">
        <f t="shared" si="8"/>
        <v>1.2311740225021861E-3</v>
      </c>
    </row>
    <row r="36" spans="1:23" x14ac:dyDescent="0.25">
      <c r="A36" s="6">
        <v>0.315</v>
      </c>
      <c r="B36" s="6">
        <v>0.314</v>
      </c>
      <c r="C36" s="6">
        <v>0.315</v>
      </c>
      <c r="D36" s="6">
        <v>0.313</v>
      </c>
      <c r="E36" s="6">
        <v>0.317</v>
      </c>
      <c r="F36" s="6">
        <v>0.314</v>
      </c>
      <c r="G36" s="6">
        <v>0.314</v>
      </c>
      <c r="H36" s="6">
        <v>0.314</v>
      </c>
      <c r="I36" s="6">
        <v>0.316</v>
      </c>
      <c r="J36" s="6">
        <v>0.313</v>
      </c>
      <c r="K36" s="6">
        <v>0.313</v>
      </c>
      <c r="L36" s="6">
        <v>0.315</v>
      </c>
      <c r="M36" s="6">
        <v>0.314</v>
      </c>
      <c r="N36" s="6">
        <v>0.314</v>
      </c>
      <c r="O36" s="6">
        <v>0.315</v>
      </c>
      <c r="P36" s="6">
        <v>0.313</v>
      </c>
      <c r="Q36" s="6">
        <v>0.312</v>
      </c>
      <c r="R36" s="6">
        <v>0.313</v>
      </c>
      <c r="S36" s="6">
        <v>0.315</v>
      </c>
      <c r="T36" s="6">
        <v>0.315</v>
      </c>
      <c r="U36" s="5">
        <f t="shared" si="10"/>
        <v>0.31420000000000003</v>
      </c>
      <c r="V36" s="5">
        <f t="shared" si="9"/>
        <v>1.4315789473684231E-6</v>
      </c>
      <c r="W36" s="8">
        <f t="shared" si="8"/>
        <v>1.1964860832322385E-3</v>
      </c>
    </row>
    <row r="37" spans="1:23" x14ac:dyDescent="0.25">
      <c r="A37" s="6">
        <v>0.316</v>
      </c>
      <c r="B37" s="6">
        <v>0.316</v>
      </c>
      <c r="C37" s="6">
        <v>0.31900000000000001</v>
      </c>
      <c r="D37" s="6">
        <v>0.316</v>
      </c>
      <c r="E37" s="6">
        <v>0.318</v>
      </c>
      <c r="F37" s="6">
        <v>0.316</v>
      </c>
      <c r="G37" s="6">
        <v>0.317</v>
      </c>
      <c r="H37" s="6">
        <v>0.31900000000000001</v>
      </c>
      <c r="I37" s="6">
        <v>0.317</v>
      </c>
      <c r="J37" s="6">
        <v>0.318</v>
      </c>
      <c r="K37" s="6">
        <v>0.315</v>
      </c>
      <c r="L37" s="6">
        <v>0.315</v>
      </c>
      <c r="M37" s="6">
        <v>0.317</v>
      </c>
      <c r="N37" s="6">
        <v>0.317</v>
      </c>
      <c r="O37" s="6">
        <v>0.317</v>
      </c>
      <c r="P37" s="6">
        <v>0.317</v>
      </c>
      <c r="Q37" s="6">
        <v>0.317</v>
      </c>
      <c r="R37" s="6">
        <v>0.316</v>
      </c>
      <c r="S37" s="6">
        <v>0.315</v>
      </c>
      <c r="T37" s="6">
        <v>0.314</v>
      </c>
      <c r="U37" s="5">
        <f t="shared" si="10"/>
        <v>0.3166000000000001</v>
      </c>
      <c r="V37" s="5">
        <f t="shared" si="9"/>
        <v>1.7263157894736876E-6</v>
      </c>
      <c r="W37" s="8">
        <f t="shared" si="8"/>
        <v>1.3138933706635738E-3</v>
      </c>
    </row>
    <row r="38" spans="1:23" x14ac:dyDescent="0.25">
      <c r="A38" s="6">
        <v>0.32</v>
      </c>
      <c r="B38" s="6">
        <v>0.31900000000000001</v>
      </c>
      <c r="C38" s="6">
        <v>0.32</v>
      </c>
      <c r="D38" s="6">
        <v>0.318</v>
      </c>
      <c r="E38" s="6">
        <v>0.318</v>
      </c>
      <c r="F38" s="6">
        <v>0.31900000000000001</v>
      </c>
      <c r="G38" s="6">
        <v>0.317</v>
      </c>
      <c r="H38" s="6">
        <v>0.31900000000000001</v>
      </c>
      <c r="I38" s="6">
        <v>0.31900000000000001</v>
      </c>
      <c r="J38" s="6">
        <v>0.318</v>
      </c>
      <c r="K38" s="6">
        <v>0.32</v>
      </c>
      <c r="L38" s="6">
        <v>0.31900000000000001</v>
      </c>
      <c r="M38" s="6">
        <v>0.32100000000000001</v>
      </c>
      <c r="N38" s="6">
        <v>0.31900000000000001</v>
      </c>
      <c r="O38" s="6">
        <v>0.317</v>
      </c>
      <c r="P38" s="6">
        <v>0.32200000000000001</v>
      </c>
      <c r="Q38" s="6">
        <v>0.31900000000000001</v>
      </c>
      <c r="R38" s="6">
        <v>0.317</v>
      </c>
      <c r="S38" s="6">
        <v>0.31900000000000001</v>
      </c>
      <c r="T38" s="6">
        <v>0.318</v>
      </c>
      <c r="U38" s="5">
        <f t="shared" si="10"/>
        <v>0.31890000000000002</v>
      </c>
      <c r="V38" s="5">
        <f t="shared" si="9"/>
        <v>1.673684210526319E-6</v>
      </c>
      <c r="W38" s="8">
        <f t="shared" si="8"/>
        <v>1.2937094768634568E-3</v>
      </c>
    </row>
    <row r="39" spans="1:23" x14ac:dyDescent="0.25">
      <c r="A39" s="6">
        <v>0.316</v>
      </c>
      <c r="B39" s="6">
        <v>0.315</v>
      </c>
      <c r="C39" s="6">
        <v>0.316</v>
      </c>
      <c r="D39" s="6">
        <v>0.315</v>
      </c>
      <c r="E39" s="6">
        <v>0.316</v>
      </c>
      <c r="F39" s="6">
        <v>0.318</v>
      </c>
      <c r="G39" s="6">
        <v>0.315</v>
      </c>
      <c r="H39" s="6">
        <v>0.318</v>
      </c>
      <c r="I39" s="6">
        <v>0.316</v>
      </c>
      <c r="J39" s="6">
        <v>0.317</v>
      </c>
      <c r="K39" s="6">
        <v>0.316</v>
      </c>
      <c r="L39" s="6">
        <v>0.315</v>
      </c>
      <c r="M39" s="6">
        <v>0.315</v>
      </c>
      <c r="N39" s="6">
        <v>0.317</v>
      </c>
      <c r="O39" s="6">
        <v>0.314</v>
      </c>
      <c r="P39" s="6">
        <v>0.317</v>
      </c>
      <c r="Q39" s="6">
        <v>0.317</v>
      </c>
      <c r="R39" s="6">
        <v>0.314</v>
      </c>
      <c r="S39" s="6">
        <v>0.316</v>
      </c>
      <c r="T39" s="6">
        <v>0.317</v>
      </c>
      <c r="U39" s="5">
        <f t="shared" ref="U39:U43" si="11">AVERAGE(A39:T39)</f>
        <v>0.31600000000000006</v>
      </c>
      <c r="V39" s="5">
        <f t="shared" si="9"/>
        <v>1.3684210526315815E-6</v>
      </c>
      <c r="W39" s="8">
        <f t="shared" si="8"/>
        <v>1.1697953037312046E-3</v>
      </c>
    </row>
    <row r="40" spans="1:23" x14ac:dyDescent="0.25">
      <c r="A40" s="6">
        <v>0.312</v>
      </c>
      <c r="B40" s="6">
        <v>0.314</v>
      </c>
      <c r="C40" s="6">
        <v>0.314</v>
      </c>
      <c r="D40" s="6">
        <v>0.314</v>
      </c>
      <c r="E40" s="6">
        <v>0.312</v>
      </c>
      <c r="F40" s="6">
        <v>0.315</v>
      </c>
      <c r="G40" s="6">
        <v>0.313</v>
      </c>
      <c r="H40" s="6">
        <v>0.313</v>
      </c>
      <c r="I40" s="6">
        <v>0.313</v>
      </c>
      <c r="J40" s="6">
        <v>0.313</v>
      </c>
      <c r="K40" s="6">
        <v>0.315</v>
      </c>
      <c r="L40" s="6">
        <v>0.314</v>
      </c>
      <c r="M40" s="6">
        <v>0.314</v>
      </c>
      <c r="N40" s="6">
        <v>0.313</v>
      </c>
      <c r="O40" s="6">
        <v>0.314</v>
      </c>
      <c r="P40" s="6">
        <v>0.315</v>
      </c>
      <c r="Q40" s="6">
        <v>0.313</v>
      </c>
      <c r="R40" s="6">
        <v>0.314</v>
      </c>
      <c r="S40" s="6">
        <v>0.314</v>
      </c>
      <c r="T40" s="6">
        <v>0.314</v>
      </c>
      <c r="U40" s="5">
        <f t="shared" si="11"/>
        <v>0.31365000000000004</v>
      </c>
      <c r="V40" s="5">
        <f t="shared" si="9"/>
        <v>7.657894736842119E-7</v>
      </c>
      <c r="W40" s="8">
        <f t="shared" si="8"/>
        <v>8.7509397991542134E-4</v>
      </c>
    </row>
    <row r="41" spans="1:23" x14ac:dyDescent="0.25">
      <c r="A41" s="6">
        <v>0.313</v>
      </c>
      <c r="B41" s="6">
        <v>0.312</v>
      </c>
      <c r="C41" s="6">
        <v>0.313</v>
      </c>
      <c r="D41" s="6">
        <v>0.314</v>
      </c>
      <c r="E41" s="6">
        <v>0.313</v>
      </c>
      <c r="F41" s="6">
        <v>0.313</v>
      </c>
      <c r="G41" s="6">
        <v>0.311</v>
      </c>
      <c r="H41" s="6">
        <v>0.312</v>
      </c>
      <c r="I41" s="6">
        <v>0.314</v>
      </c>
      <c r="J41" s="6">
        <v>0.314</v>
      </c>
      <c r="K41" s="6">
        <v>0.313</v>
      </c>
      <c r="L41" s="6">
        <v>0.314</v>
      </c>
      <c r="M41" s="6">
        <v>0.311</v>
      </c>
      <c r="N41" s="6">
        <v>0.311</v>
      </c>
      <c r="O41" s="6">
        <v>0.314</v>
      </c>
      <c r="P41" s="6">
        <v>0.313</v>
      </c>
      <c r="Q41" s="6">
        <v>0.312</v>
      </c>
      <c r="R41" s="6">
        <v>0.314</v>
      </c>
      <c r="S41" s="6">
        <v>0.312</v>
      </c>
      <c r="T41" s="6">
        <v>0.311</v>
      </c>
      <c r="U41" s="5">
        <f t="shared" si="11"/>
        <v>0.31270000000000003</v>
      </c>
      <c r="V41" s="5">
        <f t="shared" si="9"/>
        <v>1.2736842105263184E-6</v>
      </c>
      <c r="W41" s="8">
        <f t="shared" si="8"/>
        <v>1.1285761872936706E-3</v>
      </c>
    </row>
    <row r="42" spans="1:23" x14ac:dyDescent="0.25">
      <c r="A42" s="6">
        <v>0.312</v>
      </c>
      <c r="B42" s="6">
        <v>0.31</v>
      </c>
      <c r="C42" s="6">
        <v>0.312</v>
      </c>
      <c r="D42" s="6">
        <v>0.313</v>
      </c>
      <c r="E42" s="6">
        <v>0.31</v>
      </c>
      <c r="F42" s="6">
        <v>0.31</v>
      </c>
      <c r="G42" s="6">
        <v>0.311</v>
      </c>
      <c r="H42" s="6">
        <v>0.309</v>
      </c>
      <c r="I42" s="6">
        <v>0.312</v>
      </c>
      <c r="J42" s="6">
        <v>0.31</v>
      </c>
      <c r="K42" s="6">
        <v>0.31</v>
      </c>
      <c r="L42" s="6">
        <v>0.31</v>
      </c>
      <c r="M42" s="6">
        <v>0.31</v>
      </c>
      <c r="N42" s="6">
        <v>0.309</v>
      </c>
      <c r="O42" s="6">
        <v>0.308</v>
      </c>
      <c r="P42" s="6">
        <v>0.31</v>
      </c>
      <c r="Q42" s="6">
        <v>0.31</v>
      </c>
      <c r="R42" s="6">
        <v>0.311</v>
      </c>
      <c r="S42" s="6">
        <v>0.312</v>
      </c>
      <c r="T42" s="6">
        <v>0.312</v>
      </c>
      <c r="U42" s="5">
        <f t="shared" si="11"/>
        <v>0.31054999999999999</v>
      </c>
      <c r="V42" s="5">
        <f t="shared" si="9"/>
        <v>1.6289473684210561E-6</v>
      </c>
      <c r="W42" s="8">
        <f t="shared" si="8"/>
        <v>1.2763022245616655E-3</v>
      </c>
    </row>
    <row r="43" spans="1:23" x14ac:dyDescent="0.25">
      <c r="A43" s="6">
        <v>0.309</v>
      </c>
      <c r="B43" s="6">
        <v>0.312</v>
      </c>
      <c r="C43" s="6">
        <v>0.311</v>
      </c>
      <c r="D43" s="6">
        <v>0.31</v>
      </c>
      <c r="E43" s="6">
        <v>0.31</v>
      </c>
      <c r="F43" s="6">
        <v>0.309</v>
      </c>
      <c r="G43" s="6">
        <v>0.312</v>
      </c>
      <c r="H43" s="6">
        <v>0.312</v>
      </c>
      <c r="I43" s="6">
        <v>0.313</v>
      </c>
      <c r="J43" s="6">
        <v>0.312</v>
      </c>
      <c r="K43" s="6">
        <v>0.31</v>
      </c>
      <c r="L43" s="6">
        <v>0.31</v>
      </c>
      <c r="M43" s="6">
        <v>0.309</v>
      </c>
      <c r="N43" s="6">
        <v>0.311</v>
      </c>
      <c r="O43" s="6">
        <v>0.312</v>
      </c>
      <c r="P43" s="6">
        <v>0.312</v>
      </c>
      <c r="Q43" s="6">
        <v>0.308</v>
      </c>
      <c r="R43" s="6">
        <v>0.311</v>
      </c>
      <c r="S43" s="6">
        <v>0.308</v>
      </c>
      <c r="T43" s="6">
        <v>0.31</v>
      </c>
      <c r="U43" s="5">
        <f t="shared" si="11"/>
        <v>0.31054999999999999</v>
      </c>
      <c r="V43" s="5">
        <f t="shared" si="9"/>
        <v>2.1552631578947404E-6</v>
      </c>
      <c r="W43" s="8">
        <f t="shared" si="8"/>
        <v>1.46808145478878E-3</v>
      </c>
    </row>
    <row r="44" spans="1:23" x14ac:dyDescent="0.25">
      <c r="A44" s="6">
        <v>0.309</v>
      </c>
      <c r="B44" s="6">
        <v>0.308</v>
      </c>
      <c r="C44" s="6">
        <v>0.307</v>
      </c>
      <c r="D44" s="6">
        <v>0.309</v>
      </c>
      <c r="E44" s="6">
        <v>0.308</v>
      </c>
      <c r="F44" s="6">
        <v>0.31</v>
      </c>
      <c r="G44" s="6">
        <v>0.309</v>
      </c>
      <c r="H44" s="6">
        <v>0.308</v>
      </c>
      <c r="I44" s="6">
        <v>0.31</v>
      </c>
      <c r="J44" s="6">
        <v>0.31</v>
      </c>
      <c r="K44" s="6">
        <v>0.311</v>
      </c>
      <c r="L44" s="6">
        <v>0.31</v>
      </c>
      <c r="M44" s="6">
        <v>0.311</v>
      </c>
      <c r="N44" s="6">
        <v>0.309</v>
      </c>
      <c r="O44" s="6">
        <v>0.308</v>
      </c>
      <c r="P44" s="6">
        <v>0.31</v>
      </c>
      <c r="Q44" s="6">
        <v>0.309</v>
      </c>
      <c r="R44" s="6">
        <v>0.309</v>
      </c>
      <c r="S44" s="6">
        <v>0.308</v>
      </c>
      <c r="T44" s="6">
        <v>0.309</v>
      </c>
      <c r="U44" s="5">
        <f t="shared" ref="U44:U45" si="12">AVERAGE(A44:T44)</f>
        <v>0.30910000000000004</v>
      </c>
      <c r="V44" s="5">
        <f t="shared" ref="V44:V45" si="13">VARA(A44:T44)</f>
        <v>1.1473684210526333E-6</v>
      </c>
      <c r="W44" s="8">
        <f t="shared" ref="W44:W45" si="14">STDEV(A44:T44)</f>
        <v>1.0711528467275962E-3</v>
      </c>
    </row>
    <row r="45" spans="1:23" x14ac:dyDescent="0.25">
      <c r="A45" s="6">
        <v>0.31</v>
      </c>
      <c r="B45" s="6">
        <v>0.31</v>
      </c>
      <c r="C45" s="6">
        <v>0.308</v>
      </c>
      <c r="D45" s="6">
        <v>0.308</v>
      </c>
      <c r="E45" s="6">
        <v>0.309</v>
      </c>
      <c r="F45" s="6">
        <v>0.31</v>
      </c>
      <c r="G45" s="6">
        <v>0.311</v>
      </c>
      <c r="H45" s="6">
        <v>0.308</v>
      </c>
      <c r="I45" s="6">
        <v>0.309</v>
      </c>
      <c r="J45" s="6">
        <v>0.309</v>
      </c>
      <c r="K45" s="6">
        <v>0.308</v>
      </c>
      <c r="L45" s="6">
        <v>0.308</v>
      </c>
      <c r="M45" s="6">
        <v>0.31</v>
      </c>
      <c r="N45" s="6">
        <v>0.314</v>
      </c>
      <c r="O45" s="6">
        <v>0.31</v>
      </c>
      <c r="P45" s="6">
        <v>0.31</v>
      </c>
      <c r="Q45" s="6">
        <v>0.312</v>
      </c>
      <c r="R45" s="6">
        <v>0.309</v>
      </c>
      <c r="S45" s="6">
        <v>0.309</v>
      </c>
      <c r="T45" s="6">
        <v>0.311</v>
      </c>
      <c r="U45" s="5">
        <f t="shared" si="12"/>
        <v>0.30964999999999998</v>
      </c>
      <c r="V45" s="5">
        <f t="shared" si="13"/>
        <v>2.3447368421052669E-6</v>
      </c>
      <c r="W45" s="8">
        <f t="shared" si="14"/>
        <v>1.5312533566021224E-3</v>
      </c>
    </row>
    <row r="46" spans="1:23" x14ac:dyDescent="0.25">
      <c r="U46" s="11">
        <f>AVERAGE(U26:U45)</f>
        <v>0.3128725</v>
      </c>
      <c r="V46" s="11">
        <f>AVERAGE(V26:V45)</f>
        <v>1.5951315789473714E-6</v>
      </c>
      <c r="W46" s="11">
        <f>AVERAGE(W26:W45)</f>
        <v>1.2366532589601809E-3</v>
      </c>
    </row>
  </sheetData>
  <mergeCells count="1">
    <mergeCell ref="A1:U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38EFD-3F0F-437B-9E9A-04B95DC622A1}">
  <sheetPr>
    <tabColor theme="8" tint="0.39997558519241921"/>
  </sheetPr>
  <dimension ref="A1:W46"/>
  <sheetViews>
    <sheetView workbookViewId="0">
      <selection activeCell="V50" sqref="V50"/>
    </sheetView>
  </sheetViews>
  <sheetFormatPr baseColWidth="10" defaultRowHeight="15" x14ac:dyDescent="0.25"/>
  <cols>
    <col min="1" max="20" width="6" customWidth="1"/>
    <col min="21" max="21" width="11.42578125" style="4"/>
    <col min="23" max="23" width="14.7109375" bestFit="1" customWidth="1"/>
  </cols>
  <sheetData>
    <row r="1" spans="1:23" x14ac:dyDescent="0.25">
      <c r="A1" s="142" t="s">
        <v>8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</row>
    <row r="2" spans="1:23" ht="18" x14ac:dyDescent="0.25">
      <c r="A2" s="1" t="s">
        <v>2</v>
      </c>
      <c r="U2" s="7" t="s">
        <v>9</v>
      </c>
      <c r="V2" s="7" t="s">
        <v>10</v>
      </c>
      <c r="W2" s="7" t="s">
        <v>11</v>
      </c>
    </row>
    <row r="3" spans="1:23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5" t="e">
        <f t="shared" ref="U3:U22" si="0">AVERAGE(A3:T3)</f>
        <v>#DIV/0!</v>
      </c>
      <c r="V3" s="5" t="e">
        <f>VARA(A3:T3)</f>
        <v>#DIV/0!</v>
      </c>
      <c r="W3" s="5" t="e">
        <f>STDEV(A3:T3)</f>
        <v>#DIV/0!</v>
      </c>
    </row>
    <row r="4" spans="1:23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5" t="e">
        <f t="shared" si="0"/>
        <v>#DIV/0!</v>
      </c>
      <c r="V4" s="5" t="e">
        <f t="shared" ref="V4:V22" si="1">VARA(A4:T4)</f>
        <v>#DIV/0!</v>
      </c>
      <c r="W4" s="5" t="e">
        <f t="shared" ref="W4:W22" si="2">STDEV(A4:T4)</f>
        <v>#DIV/0!</v>
      </c>
    </row>
    <row r="5" spans="1:23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5" t="e">
        <f t="shared" si="0"/>
        <v>#DIV/0!</v>
      </c>
      <c r="V5" s="5" t="e">
        <f t="shared" si="1"/>
        <v>#DIV/0!</v>
      </c>
      <c r="W5" s="5" t="e">
        <f t="shared" si="2"/>
        <v>#DIV/0!</v>
      </c>
    </row>
    <row r="6" spans="1:23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5" t="e">
        <f t="shared" si="0"/>
        <v>#DIV/0!</v>
      </c>
      <c r="V6" s="5" t="e">
        <f t="shared" si="1"/>
        <v>#DIV/0!</v>
      </c>
      <c r="W6" s="5" t="e">
        <f t="shared" si="2"/>
        <v>#DIV/0!</v>
      </c>
    </row>
    <row r="7" spans="1:2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5" t="e">
        <f t="shared" si="0"/>
        <v>#DIV/0!</v>
      </c>
      <c r="V7" s="5" t="e">
        <f t="shared" si="1"/>
        <v>#DIV/0!</v>
      </c>
      <c r="W7" s="5" t="e">
        <f t="shared" si="2"/>
        <v>#DIV/0!</v>
      </c>
    </row>
    <row r="8" spans="1:23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5" t="e">
        <f t="shared" si="0"/>
        <v>#DIV/0!</v>
      </c>
      <c r="V8" s="5" t="e">
        <f t="shared" si="1"/>
        <v>#DIV/0!</v>
      </c>
      <c r="W8" s="5" t="e">
        <f t="shared" si="2"/>
        <v>#DIV/0!</v>
      </c>
    </row>
    <row r="9" spans="1:23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5" t="e">
        <f t="shared" si="0"/>
        <v>#DIV/0!</v>
      </c>
      <c r="V9" s="5" t="e">
        <f t="shared" si="1"/>
        <v>#DIV/0!</v>
      </c>
      <c r="W9" s="5" t="e">
        <f t="shared" si="2"/>
        <v>#DIV/0!</v>
      </c>
    </row>
    <row r="10" spans="1:23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5" t="e">
        <f t="shared" si="0"/>
        <v>#DIV/0!</v>
      </c>
      <c r="V10" s="5" t="e">
        <f t="shared" si="1"/>
        <v>#DIV/0!</v>
      </c>
      <c r="W10" s="5" t="e">
        <f t="shared" si="2"/>
        <v>#DIV/0!</v>
      </c>
    </row>
    <row r="11" spans="1:2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5" t="e">
        <f t="shared" si="0"/>
        <v>#DIV/0!</v>
      </c>
      <c r="V11" s="5" t="e">
        <f t="shared" si="1"/>
        <v>#DIV/0!</v>
      </c>
      <c r="W11" s="5" t="e">
        <f t="shared" si="2"/>
        <v>#DIV/0!</v>
      </c>
    </row>
    <row r="12" spans="1:23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5" t="e">
        <f t="shared" si="0"/>
        <v>#DIV/0!</v>
      </c>
      <c r="V12" s="5" t="e">
        <f t="shared" si="1"/>
        <v>#DIV/0!</v>
      </c>
      <c r="W12" s="5" t="e">
        <f t="shared" si="2"/>
        <v>#DIV/0!</v>
      </c>
    </row>
    <row r="13" spans="1:23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5" t="e">
        <f t="shared" si="0"/>
        <v>#DIV/0!</v>
      </c>
      <c r="V13" s="5" t="e">
        <f t="shared" si="1"/>
        <v>#DIV/0!</v>
      </c>
      <c r="W13" s="5" t="e">
        <f t="shared" si="2"/>
        <v>#DIV/0!</v>
      </c>
    </row>
    <row r="14" spans="1:23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5" t="e">
        <f t="shared" si="0"/>
        <v>#DIV/0!</v>
      </c>
      <c r="V14" s="5" t="e">
        <f t="shared" si="1"/>
        <v>#DIV/0!</v>
      </c>
      <c r="W14" s="5" t="e">
        <f t="shared" si="2"/>
        <v>#DIV/0!</v>
      </c>
    </row>
    <row r="15" spans="1:23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5" t="e">
        <f t="shared" si="0"/>
        <v>#DIV/0!</v>
      </c>
      <c r="V15" s="5" t="e">
        <f t="shared" si="1"/>
        <v>#DIV/0!</v>
      </c>
      <c r="W15" s="5" t="e">
        <f t="shared" si="2"/>
        <v>#DIV/0!</v>
      </c>
    </row>
    <row r="16" spans="1:2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5" t="e">
        <f t="shared" si="0"/>
        <v>#DIV/0!</v>
      </c>
      <c r="V16" s="5" t="e">
        <f t="shared" si="1"/>
        <v>#DIV/0!</v>
      </c>
      <c r="W16" s="5" t="e">
        <f t="shared" si="2"/>
        <v>#DIV/0!</v>
      </c>
    </row>
    <row r="17" spans="1:23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5" t="e">
        <f t="shared" si="0"/>
        <v>#DIV/0!</v>
      </c>
      <c r="V17" s="5" t="e">
        <f t="shared" si="1"/>
        <v>#DIV/0!</v>
      </c>
      <c r="W17" s="5" t="e">
        <f t="shared" si="2"/>
        <v>#DIV/0!</v>
      </c>
    </row>
    <row r="18" spans="1:23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5" t="e">
        <f t="shared" si="0"/>
        <v>#DIV/0!</v>
      </c>
      <c r="V18" s="5" t="e">
        <f t="shared" si="1"/>
        <v>#DIV/0!</v>
      </c>
      <c r="W18" s="5" t="e">
        <f t="shared" si="2"/>
        <v>#DIV/0!</v>
      </c>
    </row>
    <row r="19" spans="1:23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5" t="e">
        <f t="shared" ref="U19:U20" si="3">AVERAGE(A19:T19)</f>
        <v>#DIV/0!</v>
      </c>
      <c r="V19" s="5" t="e">
        <f t="shared" ref="V19:V20" si="4">VARA(A19:T19)</f>
        <v>#DIV/0!</v>
      </c>
      <c r="W19" s="5" t="e">
        <f t="shared" ref="W19:W20" si="5">STDEV(A19:T19)</f>
        <v>#DIV/0!</v>
      </c>
    </row>
    <row r="20" spans="1:2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5" t="e">
        <f t="shared" si="3"/>
        <v>#DIV/0!</v>
      </c>
      <c r="V20" s="5" t="e">
        <f t="shared" si="4"/>
        <v>#DIV/0!</v>
      </c>
      <c r="W20" s="5" t="e">
        <f t="shared" si="5"/>
        <v>#DIV/0!</v>
      </c>
    </row>
    <row r="21" spans="1:23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5" t="e">
        <f t="shared" si="0"/>
        <v>#DIV/0!</v>
      </c>
      <c r="V21" s="5" t="e">
        <f t="shared" si="1"/>
        <v>#DIV/0!</v>
      </c>
      <c r="W21" s="5" t="e">
        <f t="shared" si="2"/>
        <v>#DIV/0!</v>
      </c>
    </row>
    <row r="22" spans="1:23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5" t="e">
        <f t="shared" si="0"/>
        <v>#DIV/0!</v>
      </c>
      <c r="V22" s="5" t="e">
        <f t="shared" si="1"/>
        <v>#DIV/0!</v>
      </c>
      <c r="W22" s="5" t="e">
        <f t="shared" si="2"/>
        <v>#DIV/0!</v>
      </c>
    </row>
    <row r="23" spans="1:23" x14ac:dyDescent="0.25">
      <c r="U23" s="11" t="e">
        <f>AVERAGE(U3:U22)</f>
        <v>#DIV/0!</v>
      </c>
      <c r="V23" s="11" t="e">
        <f>AVERAGE(V3:V22)</f>
        <v>#DIV/0!</v>
      </c>
      <c r="W23" s="11" t="e">
        <f>AVERAGE(W3:W22)</f>
        <v>#DIV/0!</v>
      </c>
    </row>
    <row r="25" spans="1:23" ht="18" x14ac:dyDescent="0.25">
      <c r="A25" s="1" t="s">
        <v>3</v>
      </c>
      <c r="U25" s="7" t="s">
        <v>9</v>
      </c>
      <c r="V25" s="7" t="s">
        <v>10</v>
      </c>
      <c r="W25" s="7" t="s">
        <v>11</v>
      </c>
    </row>
    <row r="26" spans="1:23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5" t="e">
        <f t="shared" ref="U26:U43" si="6">AVERAGE(A26:T26)</f>
        <v>#DIV/0!</v>
      </c>
      <c r="V26" s="5" t="e">
        <f>VARA(A26:T26)</f>
        <v>#DIV/0!</v>
      </c>
      <c r="W26" s="5" t="e">
        <f t="shared" ref="W26:W43" si="7">STDEV(A26:T26)</f>
        <v>#DIV/0!</v>
      </c>
    </row>
    <row r="27" spans="1:23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5" t="e">
        <f t="shared" si="6"/>
        <v>#DIV/0!</v>
      </c>
      <c r="V27" s="5" t="e">
        <f t="shared" ref="V27:V43" si="8">VARA(A27:T27)</f>
        <v>#DIV/0!</v>
      </c>
      <c r="W27" s="5" t="e">
        <f t="shared" si="7"/>
        <v>#DIV/0!</v>
      </c>
    </row>
    <row r="28" spans="1:23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5" t="e">
        <f t="shared" si="6"/>
        <v>#DIV/0!</v>
      </c>
      <c r="V28" s="5" t="e">
        <f t="shared" si="8"/>
        <v>#DIV/0!</v>
      </c>
      <c r="W28" s="5" t="e">
        <f t="shared" si="7"/>
        <v>#DIV/0!</v>
      </c>
    </row>
    <row r="29" spans="1:23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5" t="e">
        <f t="shared" si="6"/>
        <v>#DIV/0!</v>
      </c>
      <c r="V29" s="5" t="e">
        <f t="shared" si="8"/>
        <v>#DIV/0!</v>
      </c>
      <c r="W29" s="5" t="e">
        <f t="shared" si="7"/>
        <v>#DIV/0!</v>
      </c>
    </row>
    <row r="30" spans="1:23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5" t="e">
        <f t="shared" si="6"/>
        <v>#DIV/0!</v>
      </c>
      <c r="V30" s="5" t="e">
        <f t="shared" si="8"/>
        <v>#DIV/0!</v>
      </c>
      <c r="W30" s="5" t="e">
        <f t="shared" si="7"/>
        <v>#DIV/0!</v>
      </c>
    </row>
    <row r="31" spans="1:23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5" t="e">
        <f t="shared" si="6"/>
        <v>#DIV/0!</v>
      </c>
      <c r="V31" s="5" t="e">
        <f t="shared" si="8"/>
        <v>#DIV/0!</v>
      </c>
      <c r="W31" s="5" t="e">
        <f t="shared" si="7"/>
        <v>#DIV/0!</v>
      </c>
    </row>
    <row r="32" spans="1:23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5" t="e">
        <f t="shared" si="6"/>
        <v>#DIV/0!</v>
      </c>
      <c r="V32" s="5" t="e">
        <f t="shared" si="8"/>
        <v>#DIV/0!</v>
      </c>
      <c r="W32" s="5" t="e">
        <f t="shared" si="7"/>
        <v>#DIV/0!</v>
      </c>
    </row>
    <row r="33" spans="1:23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5" t="e">
        <f t="shared" si="6"/>
        <v>#DIV/0!</v>
      </c>
      <c r="V33" s="5" t="e">
        <f t="shared" si="8"/>
        <v>#DIV/0!</v>
      </c>
      <c r="W33" s="5" t="e">
        <f t="shared" si="7"/>
        <v>#DIV/0!</v>
      </c>
    </row>
    <row r="34" spans="1:23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5" t="e">
        <f t="shared" si="6"/>
        <v>#DIV/0!</v>
      </c>
      <c r="V34" s="5" t="e">
        <f t="shared" si="8"/>
        <v>#DIV/0!</v>
      </c>
      <c r="W34" s="5" t="e">
        <f t="shared" si="7"/>
        <v>#DIV/0!</v>
      </c>
    </row>
    <row r="35" spans="1:23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5" t="e">
        <f t="shared" si="6"/>
        <v>#DIV/0!</v>
      </c>
      <c r="V35" s="5" t="e">
        <f t="shared" si="8"/>
        <v>#DIV/0!</v>
      </c>
      <c r="W35" s="5" t="e">
        <f t="shared" si="7"/>
        <v>#DIV/0!</v>
      </c>
    </row>
    <row r="36" spans="1:23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5" t="e">
        <f t="shared" si="6"/>
        <v>#DIV/0!</v>
      </c>
      <c r="V36" s="5" t="e">
        <f t="shared" si="8"/>
        <v>#DIV/0!</v>
      </c>
      <c r="W36" s="5" t="e">
        <f t="shared" si="7"/>
        <v>#DIV/0!</v>
      </c>
    </row>
    <row r="37" spans="1:23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5" t="e">
        <f t="shared" si="6"/>
        <v>#DIV/0!</v>
      </c>
      <c r="V37" s="5" t="e">
        <f t="shared" si="8"/>
        <v>#DIV/0!</v>
      </c>
      <c r="W37" s="5" t="e">
        <f t="shared" si="7"/>
        <v>#DIV/0!</v>
      </c>
    </row>
    <row r="38" spans="1:23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5" t="e">
        <f t="shared" si="6"/>
        <v>#DIV/0!</v>
      </c>
      <c r="V38" s="5" t="e">
        <f t="shared" si="8"/>
        <v>#DIV/0!</v>
      </c>
      <c r="W38" s="5" t="e">
        <f t="shared" si="7"/>
        <v>#DIV/0!</v>
      </c>
    </row>
    <row r="39" spans="1:2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5" t="e">
        <f t="shared" si="6"/>
        <v>#DIV/0!</v>
      </c>
      <c r="V39" s="5" t="e">
        <f t="shared" si="8"/>
        <v>#DIV/0!</v>
      </c>
      <c r="W39" s="5" t="e">
        <f t="shared" si="7"/>
        <v>#DIV/0!</v>
      </c>
    </row>
    <row r="40" spans="1:23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5" t="e">
        <f t="shared" si="6"/>
        <v>#DIV/0!</v>
      </c>
      <c r="V40" s="5" t="e">
        <f t="shared" si="8"/>
        <v>#DIV/0!</v>
      </c>
      <c r="W40" s="5" t="e">
        <f t="shared" si="7"/>
        <v>#DIV/0!</v>
      </c>
    </row>
    <row r="41" spans="1:23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5" t="e">
        <f t="shared" si="6"/>
        <v>#DIV/0!</v>
      </c>
      <c r="V41" s="5" t="e">
        <f t="shared" si="8"/>
        <v>#DIV/0!</v>
      </c>
      <c r="W41" s="5" t="e">
        <f t="shared" si="7"/>
        <v>#DIV/0!</v>
      </c>
    </row>
    <row r="42" spans="1:23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5" t="e">
        <f t="shared" si="6"/>
        <v>#DIV/0!</v>
      </c>
      <c r="V42" s="5" t="e">
        <f t="shared" si="8"/>
        <v>#DIV/0!</v>
      </c>
      <c r="W42" s="5" t="e">
        <f t="shared" si="7"/>
        <v>#DIV/0!</v>
      </c>
    </row>
    <row r="43" spans="1:2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5" t="e">
        <f t="shared" si="6"/>
        <v>#DIV/0!</v>
      </c>
      <c r="V43" s="5" t="e">
        <f t="shared" si="8"/>
        <v>#DIV/0!</v>
      </c>
      <c r="W43" s="5" t="e">
        <f t="shared" si="7"/>
        <v>#DIV/0!</v>
      </c>
    </row>
    <row r="44" spans="1:23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5" t="e">
        <f t="shared" ref="U44:U45" si="9">AVERAGE(A44:T44)</f>
        <v>#DIV/0!</v>
      </c>
      <c r="V44" s="5" t="e">
        <f t="shared" ref="V44:V45" si="10">VARA(A44:T44)</f>
        <v>#DIV/0!</v>
      </c>
      <c r="W44" s="5" t="e">
        <f t="shared" ref="W44:W45" si="11">STDEV(A44:T44)</f>
        <v>#DIV/0!</v>
      </c>
    </row>
    <row r="45" spans="1:23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5" t="e">
        <f t="shared" si="9"/>
        <v>#DIV/0!</v>
      </c>
      <c r="V45" s="5" t="e">
        <f t="shared" si="10"/>
        <v>#DIV/0!</v>
      </c>
      <c r="W45" s="5" t="e">
        <f t="shared" si="11"/>
        <v>#DIV/0!</v>
      </c>
    </row>
    <row r="46" spans="1:23" x14ac:dyDescent="0.25">
      <c r="U46" s="11" t="e">
        <f>AVERAGE(U26:U45)</f>
        <v>#DIV/0!</v>
      </c>
      <c r="V46" s="11" t="e">
        <f>AVERAGE(V26:V45)</f>
        <v>#DIV/0!</v>
      </c>
      <c r="W46" s="11" t="e">
        <f>AVERAGE(W26:W45)</f>
        <v>#DIV/0!</v>
      </c>
    </row>
  </sheetData>
  <mergeCells count="1">
    <mergeCell ref="A1:U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0C25-6D48-4729-8B2E-E5857993A83D}">
  <sheetPr>
    <tabColor rgb="FFC00000"/>
  </sheetPr>
  <dimension ref="A1:Z46"/>
  <sheetViews>
    <sheetView topLeftCell="A13" zoomScaleNormal="100" workbookViewId="0">
      <selection activeCell="V50" sqref="V50"/>
    </sheetView>
  </sheetViews>
  <sheetFormatPr baseColWidth="10" defaultRowHeight="15" x14ac:dyDescent="0.25"/>
  <cols>
    <col min="1" max="1" width="6.28515625" customWidth="1"/>
    <col min="2" max="18" width="6" bestFit="1" customWidth="1"/>
    <col min="19" max="19" width="6" customWidth="1"/>
    <col min="20" max="20" width="6" bestFit="1" customWidth="1"/>
    <col min="21" max="21" width="11.42578125" style="4"/>
    <col min="22" max="22" width="12" style="4" bestFit="1" customWidth="1"/>
    <col min="23" max="23" width="16.28515625" style="4" bestFit="1" customWidth="1"/>
  </cols>
  <sheetData>
    <row r="1" spans="1:26" x14ac:dyDescent="0.25">
      <c r="A1" s="141" t="s">
        <v>7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</row>
    <row r="2" spans="1:26" ht="18" x14ac:dyDescent="0.25">
      <c r="A2" s="1" t="s">
        <v>0</v>
      </c>
      <c r="U2" s="4" t="s">
        <v>9</v>
      </c>
      <c r="V2" s="4" t="s">
        <v>10</v>
      </c>
      <c r="W2" s="4" t="s">
        <v>11</v>
      </c>
    </row>
    <row r="3" spans="1:26" x14ac:dyDescent="0.25">
      <c r="A3" s="6">
        <v>0.26500000000000001</v>
      </c>
      <c r="B3" s="6">
        <v>0.26500000000000001</v>
      </c>
      <c r="C3" s="6">
        <v>0.26500000000000001</v>
      </c>
      <c r="D3" s="6">
        <v>0.26500000000000001</v>
      </c>
      <c r="E3" s="6">
        <v>0.26500000000000001</v>
      </c>
      <c r="F3" s="6">
        <v>0.26500000000000001</v>
      </c>
      <c r="G3" s="6">
        <v>0.26500000000000001</v>
      </c>
      <c r="H3" s="6">
        <v>0.26500000000000001</v>
      </c>
      <c r="I3" s="6">
        <v>0.26500000000000001</v>
      </c>
      <c r="J3" s="6">
        <v>0.26500000000000001</v>
      </c>
      <c r="K3" s="6">
        <v>0.26600000000000001</v>
      </c>
      <c r="L3" s="6">
        <v>0.26500000000000001</v>
      </c>
      <c r="M3" s="6">
        <v>0.26500000000000001</v>
      </c>
      <c r="N3" s="6">
        <v>0.26500000000000001</v>
      </c>
      <c r="O3" s="6">
        <v>0.26500000000000001</v>
      </c>
      <c r="P3" s="6">
        <v>0.26500000000000001</v>
      </c>
      <c r="Q3" s="6">
        <v>0.26500000000000001</v>
      </c>
      <c r="R3" s="6">
        <v>0.26500000000000001</v>
      </c>
      <c r="S3" s="6">
        <v>0.26500000000000001</v>
      </c>
      <c r="T3" s="6">
        <v>0.26500000000000001</v>
      </c>
      <c r="U3" s="5">
        <f>AVERAGE(A3:T3)</f>
        <v>0.26505000000000001</v>
      </c>
      <c r="V3" s="5">
        <f>VARA(A3:T3)</f>
        <v>5.0000000000000084E-8</v>
      </c>
      <c r="W3" s="8">
        <f>STDEV(A3:T3)</f>
        <v>2.2360679774997917E-4</v>
      </c>
      <c r="X3" s="9">
        <v>0.41666666666666669</v>
      </c>
      <c r="Y3" s="9">
        <v>1.3888888888888888E-2</v>
      </c>
    </row>
    <row r="4" spans="1:26" x14ac:dyDescent="0.25">
      <c r="A4" s="6">
        <v>0.26600000000000001</v>
      </c>
      <c r="B4" s="6">
        <v>0.26500000000000001</v>
      </c>
      <c r="C4" s="6">
        <v>0.26500000000000001</v>
      </c>
      <c r="D4" s="6">
        <v>0.26400000000000001</v>
      </c>
      <c r="E4" s="6">
        <v>0.26500000000000001</v>
      </c>
      <c r="F4" s="6">
        <v>0.26500000000000001</v>
      </c>
      <c r="G4" s="6">
        <v>0.26400000000000001</v>
      </c>
      <c r="H4" s="6">
        <v>0.26500000000000001</v>
      </c>
      <c r="I4" s="6">
        <v>0.26500000000000001</v>
      </c>
      <c r="J4" s="6">
        <v>0.26400000000000001</v>
      </c>
      <c r="K4" s="6">
        <v>0.26500000000000001</v>
      </c>
      <c r="L4" s="6">
        <v>0.26500000000000001</v>
      </c>
      <c r="M4" s="6">
        <v>0.26500000000000001</v>
      </c>
      <c r="N4" s="6">
        <v>0.26600000000000001</v>
      </c>
      <c r="O4" s="6">
        <v>0.26500000000000001</v>
      </c>
      <c r="P4" s="6">
        <v>0.26400000000000001</v>
      </c>
      <c r="Q4" s="6">
        <v>0.26500000000000001</v>
      </c>
      <c r="R4" s="6">
        <v>0.26600000000000001</v>
      </c>
      <c r="S4" s="6">
        <v>0.26500000000000001</v>
      </c>
      <c r="T4" s="6">
        <v>0.26600000000000001</v>
      </c>
      <c r="U4" s="5">
        <f>AVERAGE(A4:T4)</f>
        <v>0.26500000000000001</v>
      </c>
      <c r="V4" s="5">
        <f t="shared" ref="V4:V22" si="0">VARA(A4:T4)</f>
        <v>4.2105263157894823E-7</v>
      </c>
      <c r="W4" s="8">
        <f t="shared" ref="W4:W22" si="1">STDEV(A4:T4)</f>
        <v>6.4888568452305085E-4</v>
      </c>
      <c r="Y4" s="9">
        <f>+Y3+$Z$4</f>
        <v>2.7777777777777776E-2</v>
      </c>
      <c r="Z4" s="9">
        <v>1.3888888888888888E-2</v>
      </c>
    </row>
    <row r="5" spans="1:26" x14ac:dyDescent="0.25">
      <c r="A5" s="6">
        <v>0.26500000000000001</v>
      </c>
      <c r="B5" s="6">
        <v>0.26500000000000001</v>
      </c>
      <c r="C5" s="6">
        <v>0.26500000000000001</v>
      </c>
      <c r="D5" s="6">
        <v>0.26500000000000001</v>
      </c>
      <c r="E5" s="6">
        <v>0.26500000000000001</v>
      </c>
      <c r="F5" s="6">
        <v>0.26500000000000001</v>
      </c>
      <c r="G5" s="6">
        <v>0.26500000000000001</v>
      </c>
      <c r="H5" s="6">
        <v>0.26500000000000001</v>
      </c>
      <c r="I5" s="6">
        <v>0.26400000000000001</v>
      </c>
      <c r="J5" s="6">
        <v>0.26500000000000001</v>
      </c>
      <c r="K5" s="6">
        <v>0.26600000000000001</v>
      </c>
      <c r="L5" s="6">
        <v>0.26400000000000001</v>
      </c>
      <c r="M5" s="6">
        <v>0.26600000000000001</v>
      </c>
      <c r="N5" s="6">
        <v>0.26500000000000001</v>
      </c>
      <c r="O5" s="6">
        <v>0.26600000000000001</v>
      </c>
      <c r="P5" s="6">
        <v>0.26600000000000001</v>
      </c>
      <c r="Q5" s="6">
        <v>0.26500000000000001</v>
      </c>
      <c r="R5" s="6">
        <v>0.26400000000000001</v>
      </c>
      <c r="S5" s="6">
        <v>0.26500000000000001</v>
      </c>
      <c r="T5" s="6">
        <v>0.26600000000000001</v>
      </c>
      <c r="U5" s="5">
        <f t="shared" ref="U5:U22" si="2">AVERAGE(A5:T5)</f>
        <v>0.2651</v>
      </c>
      <c r="V5" s="5">
        <f t="shared" si="0"/>
        <v>4.105263157894745E-7</v>
      </c>
      <c r="W5" s="8">
        <f t="shared" si="1"/>
        <v>6.4072327551718811E-4</v>
      </c>
      <c r="Y5" s="9">
        <f>+Y4+$Z$4</f>
        <v>4.1666666666666664E-2</v>
      </c>
    </row>
    <row r="6" spans="1:26" x14ac:dyDescent="0.25">
      <c r="A6" s="6">
        <v>0.26500000000000001</v>
      </c>
      <c r="B6" s="6">
        <v>0.26500000000000001</v>
      </c>
      <c r="C6" s="6">
        <v>0.26500000000000001</v>
      </c>
      <c r="D6" s="6">
        <v>0.26500000000000001</v>
      </c>
      <c r="E6" s="6">
        <v>0.26500000000000001</v>
      </c>
      <c r="F6" s="6">
        <v>0.26500000000000001</v>
      </c>
      <c r="G6" s="6">
        <v>0.26500000000000001</v>
      </c>
      <c r="H6" s="6">
        <v>0.26500000000000001</v>
      </c>
      <c r="I6" s="6">
        <v>0.26500000000000001</v>
      </c>
      <c r="J6" s="6">
        <v>0.26600000000000001</v>
      </c>
      <c r="K6" s="6">
        <v>0.26500000000000001</v>
      </c>
      <c r="L6" s="6">
        <v>0.26500000000000001</v>
      </c>
      <c r="M6" s="6">
        <v>0.26500000000000001</v>
      </c>
      <c r="N6" s="6">
        <v>0.26500000000000001</v>
      </c>
      <c r="O6" s="6">
        <v>0.26500000000000001</v>
      </c>
      <c r="P6" s="6">
        <v>0.26500000000000001</v>
      </c>
      <c r="Q6" s="6">
        <v>0.26500000000000001</v>
      </c>
      <c r="R6" s="6">
        <v>0.26500000000000001</v>
      </c>
      <c r="S6" s="6">
        <v>0.26500000000000001</v>
      </c>
      <c r="T6" s="6">
        <v>0.26500000000000001</v>
      </c>
      <c r="U6" s="5">
        <f t="shared" si="2"/>
        <v>0.26505000000000001</v>
      </c>
      <c r="V6" s="5">
        <f t="shared" si="0"/>
        <v>5.0000000000000084E-8</v>
      </c>
      <c r="W6" s="8">
        <f t="shared" si="1"/>
        <v>2.2360679774997917E-4</v>
      </c>
      <c r="Y6" s="9">
        <f t="shared" ref="Y6:Y22" si="3">+Y5+$Z$4</f>
        <v>5.5555555555555552E-2</v>
      </c>
    </row>
    <row r="7" spans="1:26" x14ac:dyDescent="0.25">
      <c r="A7" s="6">
        <v>0.26400000000000001</v>
      </c>
      <c r="B7" s="6">
        <v>0.26500000000000001</v>
      </c>
      <c r="C7" s="6">
        <v>0.26500000000000001</v>
      </c>
      <c r="D7" s="6">
        <v>0.26600000000000001</v>
      </c>
      <c r="E7" s="6">
        <v>0.26600000000000001</v>
      </c>
      <c r="F7" s="6">
        <v>0.26500000000000001</v>
      </c>
      <c r="G7" s="6">
        <v>0.26500000000000001</v>
      </c>
      <c r="H7" s="6">
        <v>0.26500000000000001</v>
      </c>
      <c r="I7" s="6">
        <v>0.26500000000000001</v>
      </c>
      <c r="J7" s="6">
        <v>0.26500000000000001</v>
      </c>
      <c r="K7" s="6">
        <v>0.26500000000000001</v>
      </c>
      <c r="L7" s="6">
        <v>0.26500000000000001</v>
      </c>
      <c r="M7" s="6">
        <v>0.26500000000000001</v>
      </c>
      <c r="N7" s="6">
        <v>0.26500000000000001</v>
      </c>
      <c r="O7" s="6">
        <v>0.26500000000000001</v>
      </c>
      <c r="P7" s="6">
        <v>0.26500000000000001</v>
      </c>
      <c r="Q7" s="6">
        <v>0.26500000000000001</v>
      </c>
      <c r="R7" s="6">
        <v>0.26600000000000001</v>
      </c>
      <c r="S7" s="6">
        <v>0.26500000000000001</v>
      </c>
      <c r="T7" s="6">
        <v>0.26500000000000001</v>
      </c>
      <c r="U7" s="5">
        <f t="shared" si="2"/>
        <v>0.2651</v>
      </c>
      <c r="V7" s="5">
        <f t="shared" si="0"/>
        <v>2.0000000000000036E-7</v>
      </c>
      <c r="W7" s="8">
        <f t="shared" si="1"/>
        <v>4.4721359549995833E-4</v>
      </c>
      <c r="Y7" s="9">
        <f t="shared" si="3"/>
        <v>6.9444444444444448E-2</v>
      </c>
    </row>
    <row r="8" spans="1:26" x14ac:dyDescent="0.25">
      <c r="A8" s="6">
        <v>0.26600000000000001</v>
      </c>
      <c r="B8" s="6">
        <v>0.26500000000000001</v>
      </c>
      <c r="C8" s="6">
        <v>0.26600000000000001</v>
      </c>
      <c r="D8" s="6">
        <v>0.26500000000000001</v>
      </c>
      <c r="E8" s="6">
        <v>0.26400000000000001</v>
      </c>
      <c r="F8" s="6">
        <v>0.26500000000000001</v>
      </c>
      <c r="G8" s="6">
        <v>0.26600000000000001</v>
      </c>
      <c r="H8" s="6">
        <v>0.26500000000000001</v>
      </c>
      <c r="I8" s="6">
        <v>0.26500000000000001</v>
      </c>
      <c r="J8" s="6">
        <v>0.26600000000000001</v>
      </c>
      <c r="K8" s="6">
        <v>0.26500000000000001</v>
      </c>
      <c r="L8" s="6">
        <v>0.26500000000000001</v>
      </c>
      <c r="M8" s="6">
        <v>0.26400000000000001</v>
      </c>
      <c r="N8" s="6">
        <v>0.26500000000000001</v>
      </c>
      <c r="O8" s="6">
        <v>0.26500000000000001</v>
      </c>
      <c r="P8" s="6">
        <v>0.26500000000000001</v>
      </c>
      <c r="Q8" s="6">
        <v>0.26500000000000001</v>
      </c>
      <c r="R8" s="6">
        <v>0.26500000000000001</v>
      </c>
      <c r="S8" s="6">
        <v>0.26500000000000001</v>
      </c>
      <c r="T8" s="6">
        <v>0.26500000000000001</v>
      </c>
      <c r="U8" s="5">
        <f t="shared" si="2"/>
        <v>0.2651</v>
      </c>
      <c r="V8" s="5">
        <f t="shared" si="0"/>
        <v>3.0526315789473756E-7</v>
      </c>
      <c r="W8" s="8">
        <f t="shared" si="1"/>
        <v>5.5250625145308321E-4</v>
      </c>
      <c r="Y8" s="9">
        <f t="shared" si="3"/>
        <v>8.3333333333333343E-2</v>
      </c>
    </row>
    <row r="9" spans="1:26" x14ac:dyDescent="0.25">
      <c r="A9" s="6">
        <v>0.26500000000000001</v>
      </c>
      <c r="B9" s="6">
        <v>0.26600000000000001</v>
      </c>
      <c r="C9" s="6">
        <v>0.26600000000000001</v>
      </c>
      <c r="D9" s="6">
        <v>0.26600000000000001</v>
      </c>
      <c r="E9" s="6">
        <v>0.26500000000000001</v>
      </c>
      <c r="F9" s="6">
        <v>0.26500000000000001</v>
      </c>
      <c r="G9" s="6">
        <v>0.26500000000000001</v>
      </c>
      <c r="H9" s="6">
        <v>0.26500000000000001</v>
      </c>
      <c r="I9" s="6">
        <v>0.26500000000000001</v>
      </c>
      <c r="J9" s="6">
        <v>0.26500000000000001</v>
      </c>
      <c r="K9" s="6">
        <v>0.26600000000000001</v>
      </c>
      <c r="L9" s="6">
        <v>0.26500000000000001</v>
      </c>
      <c r="M9" s="6">
        <v>0.26500000000000001</v>
      </c>
      <c r="N9" s="6">
        <v>0.26600000000000001</v>
      </c>
      <c r="O9" s="6">
        <v>0.26600000000000001</v>
      </c>
      <c r="P9" s="6">
        <v>0.26500000000000001</v>
      </c>
      <c r="Q9" s="6">
        <v>0.26500000000000001</v>
      </c>
      <c r="R9" s="6">
        <v>0.26500000000000001</v>
      </c>
      <c r="S9" s="6">
        <v>0.26500000000000001</v>
      </c>
      <c r="T9" s="6">
        <v>0.26500000000000001</v>
      </c>
      <c r="U9" s="5">
        <f t="shared" si="2"/>
        <v>0.26529999999999998</v>
      </c>
      <c r="V9" s="5">
        <f t="shared" si="0"/>
        <v>2.2105263157894779E-7</v>
      </c>
      <c r="W9" s="8">
        <f t="shared" si="1"/>
        <v>4.7016234598162772E-4</v>
      </c>
      <c r="Y9" s="9">
        <f t="shared" si="3"/>
        <v>9.7222222222222238E-2</v>
      </c>
    </row>
    <row r="10" spans="1:26" x14ac:dyDescent="0.25">
      <c r="A10" s="6">
        <v>0.26600000000000001</v>
      </c>
      <c r="B10" s="6">
        <v>0.26500000000000001</v>
      </c>
      <c r="C10" s="6">
        <v>0.26500000000000001</v>
      </c>
      <c r="D10" s="6">
        <v>0.26500000000000001</v>
      </c>
      <c r="E10" s="6">
        <v>0.26500000000000001</v>
      </c>
      <c r="F10" s="6">
        <v>0.26500000000000001</v>
      </c>
      <c r="G10" s="6">
        <v>0.26500000000000001</v>
      </c>
      <c r="H10" s="6">
        <v>0.26500000000000001</v>
      </c>
      <c r="I10" s="6">
        <v>0.26500000000000001</v>
      </c>
      <c r="J10" s="6">
        <v>0.26500000000000001</v>
      </c>
      <c r="K10" s="6">
        <v>0.26500000000000001</v>
      </c>
      <c r="L10" s="6">
        <v>0.26500000000000001</v>
      </c>
      <c r="M10" s="6">
        <v>0.26500000000000001</v>
      </c>
      <c r="N10" s="6">
        <v>0.26500000000000001</v>
      </c>
      <c r="O10" s="6">
        <v>0.26500000000000001</v>
      </c>
      <c r="P10" s="6">
        <v>0.26500000000000001</v>
      </c>
      <c r="Q10" s="6">
        <v>0.26500000000000001</v>
      </c>
      <c r="R10" s="6">
        <v>0.26600000000000001</v>
      </c>
      <c r="S10" s="6">
        <v>0.26500000000000001</v>
      </c>
      <c r="T10" s="6">
        <v>0.26500000000000001</v>
      </c>
      <c r="U10" s="5">
        <f t="shared" si="2"/>
        <v>0.2651</v>
      </c>
      <c r="V10" s="5">
        <f t="shared" si="0"/>
        <v>9.4736842105263318E-8</v>
      </c>
      <c r="W10" s="8">
        <f t="shared" si="1"/>
        <v>3.0779350562554648E-4</v>
      </c>
      <c r="Y10" s="9">
        <f t="shared" si="3"/>
        <v>0.11111111111111113</v>
      </c>
    </row>
    <row r="11" spans="1:26" x14ac:dyDescent="0.25">
      <c r="A11" s="6">
        <v>0.26600000000000001</v>
      </c>
      <c r="B11" s="6">
        <v>0.26500000000000001</v>
      </c>
      <c r="C11" s="6">
        <v>0.26500000000000001</v>
      </c>
      <c r="D11" s="6">
        <v>0.26600000000000001</v>
      </c>
      <c r="E11" s="6">
        <v>0.26500000000000001</v>
      </c>
      <c r="F11" s="6">
        <v>0.26500000000000001</v>
      </c>
      <c r="G11" s="6">
        <v>0.26500000000000001</v>
      </c>
      <c r="H11" s="6">
        <v>0.26500000000000001</v>
      </c>
      <c r="I11" s="6">
        <v>0.26600000000000001</v>
      </c>
      <c r="J11" s="6">
        <v>0.26500000000000001</v>
      </c>
      <c r="K11" s="6">
        <v>0.26500000000000001</v>
      </c>
      <c r="L11" s="6">
        <v>0.26500000000000001</v>
      </c>
      <c r="M11" s="6">
        <v>0.26500000000000001</v>
      </c>
      <c r="N11" s="6">
        <v>0.26500000000000001</v>
      </c>
      <c r="O11" s="6">
        <v>0.26500000000000001</v>
      </c>
      <c r="P11" s="6">
        <v>0.26500000000000001</v>
      </c>
      <c r="Q11" s="6">
        <v>0.26500000000000001</v>
      </c>
      <c r="R11" s="6">
        <v>0.26600000000000001</v>
      </c>
      <c r="S11" s="6">
        <v>0.26500000000000001</v>
      </c>
      <c r="T11" s="6">
        <v>0.26500000000000001</v>
      </c>
      <c r="U11" s="5">
        <f t="shared" si="2"/>
        <v>0.26519999999999999</v>
      </c>
      <c r="V11" s="5">
        <f t="shared" si="0"/>
        <v>1.6842105263157921E-7</v>
      </c>
      <c r="W11" s="8">
        <f t="shared" si="1"/>
        <v>4.1039134083406195E-4</v>
      </c>
      <c r="Y11" s="9">
        <f t="shared" si="3"/>
        <v>0.12500000000000003</v>
      </c>
    </row>
    <row r="12" spans="1:26" x14ac:dyDescent="0.25">
      <c r="A12" s="6">
        <v>0.26500000000000001</v>
      </c>
      <c r="B12" s="6">
        <v>0.26600000000000001</v>
      </c>
      <c r="C12" s="6">
        <v>0.26500000000000001</v>
      </c>
      <c r="D12" s="6">
        <v>0.26500000000000001</v>
      </c>
      <c r="E12" s="6">
        <v>0.26500000000000001</v>
      </c>
      <c r="F12" s="6">
        <v>0.26500000000000001</v>
      </c>
      <c r="G12" s="6">
        <v>0.26500000000000001</v>
      </c>
      <c r="H12" s="6">
        <v>0.26600000000000001</v>
      </c>
      <c r="I12" s="6">
        <v>0.26600000000000001</v>
      </c>
      <c r="J12" s="6">
        <v>0.26500000000000001</v>
      </c>
      <c r="K12" s="6">
        <v>0.26500000000000001</v>
      </c>
      <c r="L12" s="6">
        <v>0.26500000000000001</v>
      </c>
      <c r="M12" s="6">
        <v>0.26600000000000001</v>
      </c>
      <c r="N12" s="6">
        <v>0.26600000000000001</v>
      </c>
      <c r="O12" s="6">
        <v>0.26600000000000001</v>
      </c>
      <c r="P12" s="6">
        <v>0.26500000000000001</v>
      </c>
      <c r="Q12" s="6">
        <v>0.26500000000000001</v>
      </c>
      <c r="R12" s="6">
        <v>0.26500000000000001</v>
      </c>
      <c r="S12" s="6">
        <v>0.26500000000000001</v>
      </c>
      <c r="T12" s="6">
        <v>0.26600000000000001</v>
      </c>
      <c r="U12" s="5">
        <f t="shared" si="2"/>
        <v>0.26534999999999997</v>
      </c>
      <c r="V12" s="5">
        <f t="shared" si="0"/>
        <v>2.3947368421052679E-7</v>
      </c>
      <c r="W12" s="8">
        <f t="shared" si="1"/>
        <v>4.8936048492959343E-4</v>
      </c>
      <c r="Y12" s="9">
        <f t="shared" si="3"/>
        <v>0.13888888888888892</v>
      </c>
    </row>
    <row r="13" spans="1:26" x14ac:dyDescent="0.25">
      <c r="A13" s="6">
        <v>0.26500000000000001</v>
      </c>
      <c r="B13" s="6">
        <v>0.26500000000000001</v>
      </c>
      <c r="C13" s="6">
        <v>0.26500000000000001</v>
      </c>
      <c r="D13" s="6">
        <v>0.26500000000000001</v>
      </c>
      <c r="E13" s="6">
        <v>0.26400000000000001</v>
      </c>
      <c r="F13" s="6">
        <v>0.26500000000000001</v>
      </c>
      <c r="G13" s="6">
        <v>0.26500000000000001</v>
      </c>
      <c r="H13" s="6">
        <v>0.26500000000000001</v>
      </c>
      <c r="I13" s="6">
        <v>0.26500000000000001</v>
      </c>
      <c r="J13" s="6">
        <v>0.26500000000000001</v>
      </c>
      <c r="K13" s="6">
        <v>0.26500000000000001</v>
      </c>
      <c r="L13" s="6">
        <v>0.26500000000000001</v>
      </c>
      <c r="M13" s="6">
        <v>0.26500000000000001</v>
      </c>
      <c r="N13" s="6">
        <v>0.26500000000000001</v>
      </c>
      <c r="O13" s="6">
        <v>0.26500000000000001</v>
      </c>
      <c r="P13" s="6">
        <v>0.26600000000000001</v>
      </c>
      <c r="Q13" s="6">
        <v>0.26500000000000001</v>
      </c>
      <c r="R13" s="6">
        <v>0.26500000000000001</v>
      </c>
      <c r="S13" s="6">
        <v>0.26500000000000001</v>
      </c>
      <c r="T13" s="6">
        <v>0.26500000000000001</v>
      </c>
      <c r="U13" s="5">
        <f t="shared" si="2"/>
        <v>0.26500000000000001</v>
      </c>
      <c r="V13" s="5">
        <f t="shared" si="0"/>
        <v>1.0526315789473704E-7</v>
      </c>
      <c r="W13" s="8">
        <f t="shared" si="1"/>
        <v>3.2444284226152537E-4</v>
      </c>
      <c r="Y13" s="9">
        <f t="shared" si="3"/>
        <v>0.15277777777777782</v>
      </c>
    </row>
    <row r="14" spans="1:26" x14ac:dyDescent="0.25">
      <c r="A14" s="6">
        <v>0.26600000000000001</v>
      </c>
      <c r="B14" s="6">
        <v>0.26500000000000001</v>
      </c>
      <c r="C14" s="6">
        <v>0.26500000000000001</v>
      </c>
      <c r="D14" s="6">
        <v>0.26500000000000001</v>
      </c>
      <c r="E14" s="6">
        <v>0.26500000000000001</v>
      </c>
      <c r="F14" s="6">
        <v>0.26500000000000001</v>
      </c>
      <c r="G14" s="6">
        <v>0.26500000000000001</v>
      </c>
      <c r="H14" s="6">
        <v>0.26500000000000001</v>
      </c>
      <c r="I14" s="6">
        <v>0.26500000000000001</v>
      </c>
      <c r="J14" s="6">
        <v>0.26500000000000001</v>
      </c>
      <c r="K14" s="6">
        <v>0.26600000000000001</v>
      </c>
      <c r="L14" s="6">
        <v>0.26600000000000001</v>
      </c>
      <c r="M14" s="6">
        <v>0.26600000000000001</v>
      </c>
      <c r="N14" s="6">
        <v>0.26500000000000001</v>
      </c>
      <c r="O14" s="6">
        <v>0.26400000000000001</v>
      </c>
      <c r="P14" s="6">
        <v>0.26500000000000001</v>
      </c>
      <c r="Q14" s="6">
        <v>0.26500000000000001</v>
      </c>
      <c r="R14" s="6">
        <v>0.26500000000000001</v>
      </c>
      <c r="S14" s="6">
        <v>0.26500000000000001</v>
      </c>
      <c r="T14" s="6">
        <v>0.26600000000000001</v>
      </c>
      <c r="U14" s="5">
        <f t="shared" si="2"/>
        <v>0.26519999999999999</v>
      </c>
      <c r="V14" s="5">
        <f t="shared" si="0"/>
        <v>2.7368421052631618E-7</v>
      </c>
      <c r="W14" s="8">
        <f t="shared" si="1"/>
        <v>5.2314836378059731E-4</v>
      </c>
      <c r="Y14" s="9">
        <f t="shared" si="3"/>
        <v>0.16666666666666671</v>
      </c>
    </row>
    <row r="15" spans="1:26" x14ac:dyDescent="0.25">
      <c r="A15" s="6">
        <v>0.26500000000000001</v>
      </c>
      <c r="B15" s="6">
        <v>0.26500000000000001</v>
      </c>
      <c r="C15" s="6">
        <v>0.26500000000000001</v>
      </c>
      <c r="D15" s="6">
        <v>0.26500000000000001</v>
      </c>
      <c r="E15" s="6">
        <v>0.26500000000000001</v>
      </c>
      <c r="F15" s="6">
        <v>0.26500000000000001</v>
      </c>
      <c r="G15" s="6">
        <v>0.26500000000000001</v>
      </c>
      <c r="H15" s="6">
        <v>0.26500000000000001</v>
      </c>
      <c r="I15" s="6">
        <v>0.26500000000000001</v>
      </c>
      <c r="J15" s="6">
        <v>0.26500000000000001</v>
      </c>
      <c r="K15" s="6">
        <v>0.26500000000000001</v>
      </c>
      <c r="L15" s="6">
        <v>0.26500000000000001</v>
      </c>
      <c r="M15" s="6">
        <v>0.26500000000000001</v>
      </c>
      <c r="N15" s="6">
        <v>0.26500000000000001</v>
      </c>
      <c r="O15" s="6">
        <v>0.26500000000000001</v>
      </c>
      <c r="P15" s="6">
        <v>0.26500000000000001</v>
      </c>
      <c r="Q15" s="6">
        <v>0.26500000000000001</v>
      </c>
      <c r="R15" s="6">
        <v>0.26500000000000001</v>
      </c>
      <c r="S15" s="6">
        <v>0.26500000000000001</v>
      </c>
      <c r="T15" s="6">
        <v>0.26600000000000001</v>
      </c>
      <c r="U15" s="5">
        <f t="shared" si="2"/>
        <v>0.26505000000000001</v>
      </c>
      <c r="V15" s="5">
        <f t="shared" si="0"/>
        <v>5.0000000000000084E-8</v>
      </c>
      <c r="W15" s="8">
        <f t="shared" si="1"/>
        <v>2.2360679774997917E-4</v>
      </c>
      <c r="Y15" s="9">
        <f t="shared" si="3"/>
        <v>0.18055555555555561</v>
      </c>
    </row>
    <row r="16" spans="1:26" x14ac:dyDescent="0.25">
      <c r="A16" s="6">
        <v>0.26500000000000001</v>
      </c>
      <c r="B16" s="6">
        <v>0.26500000000000001</v>
      </c>
      <c r="C16" s="6">
        <v>0.26500000000000001</v>
      </c>
      <c r="D16" s="6">
        <v>0.26500000000000001</v>
      </c>
      <c r="E16" s="6">
        <v>0.26500000000000001</v>
      </c>
      <c r="F16" s="6">
        <v>0.26500000000000001</v>
      </c>
      <c r="G16" s="6">
        <v>0.26500000000000001</v>
      </c>
      <c r="H16" s="6">
        <v>0.26500000000000001</v>
      </c>
      <c r="I16" s="6">
        <v>0.26500000000000001</v>
      </c>
      <c r="J16" s="6">
        <v>0.26500000000000001</v>
      </c>
      <c r="K16" s="6">
        <v>0.26500000000000001</v>
      </c>
      <c r="L16" s="6">
        <v>0.26500000000000001</v>
      </c>
      <c r="M16" s="6">
        <v>0.26500000000000001</v>
      </c>
      <c r="N16" s="6">
        <v>0.26500000000000001</v>
      </c>
      <c r="O16" s="6">
        <v>0.26500000000000001</v>
      </c>
      <c r="P16" s="6">
        <v>0.26500000000000001</v>
      </c>
      <c r="Q16" s="6">
        <v>0.26500000000000001</v>
      </c>
      <c r="R16" s="6">
        <v>0.26500000000000001</v>
      </c>
      <c r="S16" s="6">
        <v>0.26500000000000001</v>
      </c>
      <c r="T16" s="6">
        <v>0.26500000000000001</v>
      </c>
      <c r="U16" s="5">
        <f t="shared" si="2"/>
        <v>0.26500000000000001</v>
      </c>
      <c r="V16" s="5">
        <f t="shared" si="0"/>
        <v>0</v>
      </c>
      <c r="W16" s="8">
        <f t="shared" si="1"/>
        <v>0</v>
      </c>
      <c r="Y16" s="9">
        <f t="shared" si="3"/>
        <v>0.1944444444444445</v>
      </c>
    </row>
    <row r="17" spans="1:25" x14ac:dyDescent="0.25">
      <c r="A17" s="6">
        <v>0.26500000000000001</v>
      </c>
      <c r="B17" s="6">
        <v>0.26600000000000001</v>
      </c>
      <c r="C17" s="6">
        <v>0.26500000000000001</v>
      </c>
      <c r="D17" s="6">
        <v>0.26500000000000001</v>
      </c>
      <c r="E17" s="6">
        <v>0.26500000000000001</v>
      </c>
      <c r="F17" s="6">
        <v>0.26500000000000001</v>
      </c>
      <c r="G17" s="6">
        <v>0.26500000000000001</v>
      </c>
      <c r="H17" s="6">
        <v>0.26500000000000001</v>
      </c>
      <c r="I17" s="6">
        <v>0.26500000000000001</v>
      </c>
      <c r="J17" s="6">
        <v>0.26600000000000001</v>
      </c>
      <c r="K17" s="6">
        <v>0.26500000000000001</v>
      </c>
      <c r="L17" s="6">
        <v>0.26500000000000001</v>
      </c>
      <c r="M17" s="6">
        <v>0.26600000000000001</v>
      </c>
      <c r="N17" s="6">
        <v>0.26500000000000001</v>
      </c>
      <c r="O17" s="6">
        <v>0.26500000000000001</v>
      </c>
      <c r="P17" s="6">
        <v>0.26600000000000001</v>
      </c>
      <c r="Q17" s="6">
        <v>0.26500000000000001</v>
      </c>
      <c r="R17" s="6">
        <v>0.26600000000000001</v>
      </c>
      <c r="S17" s="6">
        <v>0.26500000000000001</v>
      </c>
      <c r="T17" s="6">
        <v>0.26500000000000001</v>
      </c>
      <c r="U17" s="5">
        <f t="shared" si="2"/>
        <v>0.26525000000000004</v>
      </c>
      <c r="V17" s="5">
        <f t="shared" si="0"/>
        <v>1.9736842105263189E-7</v>
      </c>
      <c r="W17" s="8">
        <f t="shared" si="1"/>
        <v>4.4426165831931962E-4</v>
      </c>
      <c r="Y17" s="9">
        <f t="shared" si="3"/>
        <v>0.2083333333333334</v>
      </c>
    </row>
    <row r="18" spans="1:25" x14ac:dyDescent="0.25">
      <c r="A18" s="6">
        <v>0.26500000000000001</v>
      </c>
      <c r="B18" s="6">
        <v>0.26500000000000001</v>
      </c>
      <c r="C18" s="6">
        <v>0.26600000000000001</v>
      </c>
      <c r="D18" s="6">
        <v>0.26600000000000001</v>
      </c>
      <c r="E18" s="6">
        <v>0.26400000000000001</v>
      </c>
      <c r="F18" s="6">
        <v>0.26500000000000001</v>
      </c>
      <c r="G18" s="6">
        <v>0.26600000000000001</v>
      </c>
      <c r="H18" s="6">
        <v>0.26600000000000001</v>
      </c>
      <c r="I18" s="6">
        <v>0.26500000000000001</v>
      </c>
      <c r="J18" s="6">
        <v>0.26500000000000001</v>
      </c>
      <c r="K18" s="6">
        <v>0.26500000000000001</v>
      </c>
      <c r="L18" s="6">
        <v>0.26500000000000001</v>
      </c>
      <c r="M18" s="6">
        <v>0.26500000000000001</v>
      </c>
      <c r="N18" s="6">
        <v>0.26500000000000001</v>
      </c>
      <c r="O18" s="6">
        <v>0.26500000000000001</v>
      </c>
      <c r="P18" s="6">
        <v>0.26500000000000001</v>
      </c>
      <c r="Q18" s="6">
        <v>0.26500000000000001</v>
      </c>
      <c r="R18" s="6">
        <v>0.26500000000000001</v>
      </c>
      <c r="S18" s="6">
        <v>0.26500000000000001</v>
      </c>
      <c r="T18" s="6">
        <v>0.26500000000000001</v>
      </c>
      <c r="U18" s="5">
        <f t="shared" si="2"/>
        <v>0.26515</v>
      </c>
      <c r="V18" s="5">
        <f t="shared" si="0"/>
        <v>2.3947368421052679E-7</v>
      </c>
      <c r="W18" s="8">
        <f t="shared" si="1"/>
        <v>4.8936048492959343E-4</v>
      </c>
      <c r="Y18" s="9">
        <f t="shared" si="3"/>
        <v>0.22222222222222229</v>
      </c>
    </row>
    <row r="19" spans="1:25" x14ac:dyDescent="0.25">
      <c r="A19" s="6">
        <v>0.26500000000000001</v>
      </c>
      <c r="B19" s="6">
        <v>0.26600000000000001</v>
      </c>
      <c r="C19" s="6">
        <v>0.26500000000000001</v>
      </c>
      <c r="D19" s="6">
        <v>0.26500000000000001</v>
      </c>
      <c r="E19" s="6">
        <v>0.26500000000000001</v>
      </c>
      <c r="F19" s="6">
        <v>0.26500000000000001</v>
      </c>
      <c r="G19" s="6">
        <v>0.26500000000000001</v>
      </c>
      <c r="H19" s="6">
        <v>0.26500000000000001</v>
      </c>
      <c r="I19" s="6">
        <v>0.26500000000000001</v>
      </c>
      <c r="J19" s="6">
        <v>0.26600000000000001</v>
      </c>
      <c r="K19" s="6">
        <v>0.26500000000000001</v>
      </c>
      <c r="L19" s="6">
        <v>0.26500000000000001</v>
      </c>
      <c r="M19" s="6">
        <v>0.26500000000000001</v>
      </c>
      <c r="N19" s="6">
        <v>0.26500000000000001</v>
      </c>
      <c r="O19" s="6">
        <v>0.26600000000000001</v>
      </c>
      <c r="P19" s="6">
        <v>0.26600000000000001</v>
      </c>
      <c r="Q19" s="6">
        <v>0.26500000000000001</v>
      </c>
      <c r="R19" s="6">
        <v>0.26500000000000001</v>
      </c>
      <c r="S19" s="6">
        <v>0.26500000000000001</v>
      </c>
      <c r="T19" s="6">
        <v>0.26600000000000001</v>
      </c>
      <c r="U19" s="5">
        <f t="shared" si="2"/>
        <v>0.26525000000000004</v>
      </c>
      <c r="V19" s="5">
        <f t="shared" si="0"/>
        <v>1.9736842105263192E-7</v>
      </c>
      <c r="W19" s="8">
        <f t="shared" si="1"/>
        <v>4.4426165831931962E-4</v>
      </c>
      <c r="Y19" s="9">
        <f t="shared" si="3"/>
        <v>0.23611111111111119</v>
      </c>
    </row>
    <row r="20" spans="1:25" x14ac:dyDescent="0.25">
      <c r="A20" s="6">
        <v>0.26600000000000001</v>
      </c>
      <c r="B20" s="6">
        <v>0.26500000000000001</v>
      </c>
      <c r="C20" s="6">
        <v>0.26500000000000001</v>
      </c>
      <c r="D20" s="6">
        <v>0.26500000000000001</v>
      </c>
      <c r="E20" s="6">
        <v>0.26500000000000001</v>
      </c>
      <c r="F20" s="6">
        <v>0.26500000000000001</v>
      </c>
      <c r="G20" s="6">
        <v>0.26500000000000001</v>
      </c>
      <c r="H20" s="6">
        <v>0.26600000000000001</v>
      </c>
      <c r="I20" s="6">
        <v>0.26500000000000001</v>
      </c>
      <c r="J20" s="6">
        <v>0.26500000000000001</v>
      </c>
      <c r="K20" s="6">
        <v>0.26500000000000001</v>
      </c>
      <c r="L20" s="6">
        <v>0.26600000000000001</v>
      </c>
      <c r="M20" s="6">
        <v>0.26500000000000001</v>
      </c>
      <c r="N20" s="6">
        <v>0.26500000000000001</v>
      </c>
      <c r="O20" s="6">
        <v>0.26500000000000001</v>
      </c>
      <c r="P20" s="6">
        <v>0.26500000000000001</v>
      </c>
      <c r="Q20" s="6">
        <v>0.26500000000000001</v>
      </c>
      <c r="R20" s="6">
        <v>0.26600000000000001</v>
      </c>
      <c r="S20" s="6">
        <v>0.26500000000000001</v>
      </c>
      <c r="T20" s="6">
        <v>0.26500000000000001</v>
      </c>
      <c r="U20" s="5">
        <f t="shared" si="2"/>
        <v>0.26519999999999999</v>
      </c>
      <c r="V20" s="5">
        <f t="shared" si="0"/>
        <v>1.6842105263157921E-7</v>
      </c>
      <c r="W20" s="8">
        <f t="shared" si="1"/>
        <v>4.1039134083406195E-4</v>
      </c>
      <c r="Y20" s="9">
        <f t="shared" si="3"/>
        <v>0.25000000000000006</v>
      </c>
    </row>
    <row r="21" spans="1:25" x14ac:dyDescent="0.25">
      <c r="A21" s="6">
        <v>0.26500000000000001</v>
      </c>
      <c r="B21" s="6">
        <v>0.26500000000000001</v>
      </c>
      <c r="C21" s="6">
        <v>0.26500000000000001</v>
      </c>
      <c r="D21" s="6">
        <v>0.26500000000000001</v>
      </c>
      <c r="E21" s="6">
        <v>0.26600000000000001</v>
      </c>
      <c r="F21" s="6">
        <v>0.26500000000000001</v>
      </c>
      <c r="G21" s="6">
        <v>0.26500000000000001</v>
      </c>
      <c r="H21" s="6">
        <v>0.26500000000000001</v>
      </c>
      <c r="I21" s="6">
        <v>0.26600000000000001</v>
      </c>
      <c r="J21" s="6">
        <v>0.26500000000000001</v>
      </c>
      <c r="K21" s="6">
        <v>0.26500000000000001</v>
      </c>
      <c r="L21" s="6">
        <v>0.26600000000000001</v>
      </c>
      <c r="M21" s="6">
        <v>0.26600000000000001</v>
      </c>
      <c r="N21" s="6">
        <v>0.26500000000000001</v>
      </c>
      <c r="O21" s="6">
        <v>0.26500000000000001</v>
      </c>
      <c r="P21" s="6">
        <v>0.26500000000000001</v>
      </c>
      <c r="Q21" s="6">
        <v>0.26500000000000001</v>
      </c>
      <c r="R21" s="6">
        <v>0.26500000000000001</v>
      </c>
      <c r="S21" s="6">
        <v>0.26500000000000001</v>
      </c>
      <c r="T21" s="6">
        <v>0.26500000000000001</v>
      </c>
      <c r="U21" s="5">
        <f t="shared" si="2"/>
        <v>0.26519999999999999</v>
      </c>
      <c r="V21" s="5">
        <f t="shared" si="0"/>
        <v>1.6842105263157924E-7</v>
      </c>
      <c r="W21" s="8">
        <f t="shared" si="1"/>
        <v>4.10391340834062E-4</v>
      </c>
      <c r="Y21" s="9">
        <f t="shared" si="3"/>
        <v>0.26388888888888895</v>
      </c>
    </row>
    <row r="22" spans="1:25" x14ac:dyDescent="0.25">
      <c r="A22" s="6">
        <v>0.26600000000000001</v>
      </c>
      <c r="B22" s="6">
        <v>0.26500000000000001</v>
      </c>
      <c r="C22" s="6">
        <v>0.26500000000000001</v>
      </c>
      <c r="D22" s="6">
        <v>0.26500000000000001</v>
      </c>
      <c r="E22" s="6">
        <v>0.26600000000000001</v>
      </c>
      <c r="F22" s="6">
        <v>0.26500000000000001</v>
      </c>
      <c r="G22" s="6">
        <v>0.26600000000000001</v>
      </c>
      <c r="H22" s="6">
        <v>0.26500000000000001</v>
      </c>
      <c r="I22" s="6">
        <v>0.26500000000000001</v>
      </c>
      <c r="J22" s="6">
        <v>0.26500000000000001</v>
      </c>
      <c r="K22" s="6">
        <v>0.26500000000000001</v>
      </c>
      <c r="L22" s="6">
        <v>0.26500000000000001</v>
      </c>
      <c r="M22" s="6">
        <v>0.26600000000000001</v>
      </c>
      <c r="N22" s="6">
        <v>0.26500000000000001</v>
      </c>
      <c r="O22" s="6">
        <v>0.26500000000000001</v>
      </c>
      <c r="P22" s="6">
        <v>0.26500000000000001</v>
      </c>
      <c r="Q22" s="6">
        <v>0.26500000000000001</v>
      </c>
      <c r="R22" s="6">
        <v>0.26500000000000001</v>
      </c>
      <c r="S22" s="6">
        <v>0.26500000000000001</v>
      </c>
      <c r="T22" s="6">
        <v>0.26500000000000001</v>
      </c>
      <c r="U22" s="5">
        <f t="shared" si="2"/>
        <v>0.26519999999999999</v>
      </c>
      <c r="V22" s="5">
        <f t="shared" si="0"/>
        <v>1.6842105263157921E-7</v>
      </c>
      <c r="W22" s="8">
        <f t="shared" si="1"/>
        <v>4.1039134083406195E-4</v>
      </c>
      <c r="X22" s="9">
        <f>+X3+Y22+Y3</f>
        <v>0.70833333333333337</v>
      </c>
      <c r="Y22" s="9">
        <f t="shared" si="3"/>
        <v>0.27777777777777785</v>
      </c>
    </row>
    <row r="23" spans="1:25" x14ac:dyDescent="0.25">
      <c r="U23" s="11">
        <f>AVERAGE(U3:U22)</f>
        <v>0.2651425</v>
      </c>
      <c r="V23" s="11">
        <f>AVERAGE(V3:V22)</f>
        <v>1.8644736842105297E-7</v>
      </c>
      <c r="W23" s="11">
        <f>AVERAGE(W3:W22)</f>
        <v>4.0472529538632942E-4</v>
      </c>
    </row>
    <row r="24" spans="1:25" x14ac:dyDescent="0.25">
      <c r="U24" s="7"/>
      <c r="V24" s="7"/>
      <c r="W24" s="7"/>
    </row>
    <row r="25" spans="1:25" ht="18" x14ac:dyDescent="0.25">
      <c r="A25" s="1" t="s">
        <v>1</v>
      </c>
      <c r="U25" s="4" t="s">
        <v>9</v>
      </c>
      <c r="V25" s="4" t="s">
        <v>10</v>
      </c>
      <c r="W25" s="4" t="s">
        <v>11</v>
      </c>
    </row>
    <row r="26" spans="1:25" x14ac:dyDescent="0.25">
      <c r="A26" s="6">
        <v>0.27300000000000002</v>
      </c>
      <c r="B26" s="6">
        <v>0.27300000000000002</v>
      </c>
      <c r="C26" s="6">
        <v>0.27400000000000002</v>
      </c>
      <c r="D26" s="6">
        <v>0.27300000000000002</v>
      </c>
      <c r="E26" s="6">
        <v>0.27300000000000002</v>
      </c>
      <c r="F26" s="6">
        <v>0.27300000000000002</v>
      </c>
      <c r="G26" s="6">
        <v>0.27300000000000002</v>
      </c>
      <c r="H26" s="6">
        <v>0.27400000000000002</v>
      </c>
      <c r="I26" s="6">
        <v>0.27300000000000002</v>
      </c>
      <c r="J26" s="6">
        <v>0.27300000000000002</v>
      </c>
      <c r="K26" s="6">
        <v>0.27200000000000002</v>
      </c>
      <c r="L26" s="6">
        <v>0.27300000000000002</v>
      </c>
      <c r="M26" s="6">
        <v>0.27300000000000002</v>
      </c>
      <c r="N26" s="6">
        <v>0.27300000000000002</v>
      </c>
      <c r="O26" s="6">
        <v>0.27300000000000002</v>
      </c>
      <c r="P26" s="6">
        <v>0.27300000000000002</v>
      </c>
      <c r="Q26" s="6">
        <v>0.27300000000000002</v>
      </c>
      <c r="R26" s="6">
        <v>0.27400000000000002</v>
      </c>
      <c r="S26" s="6">
        <v>0.27400000000000002</v>
      </c>
      <c r="T26" s="6">
        <v>0.27400000000000002</v>
      </c>
      <c r="U26" s="5">
        <f>AVERAGE(A26:T26)</f>
        <v>0.2732</v>
      </c>
      <c r="V26" s="5">
        <f>VARA(A26:T26)</f>
        <v>2.7368421052631618E-7</v>
      </c>
      <c r="W26" s="8">
        <f t="shared" ref="W26:W45" si="4">STDEV(A26:T26)</f>
        <v>5.2314836378059731E-4</v>
      </c>
    </row>
    <row r="27" spans="1:25" x14ac:dyDescent="0.25">
      <c r="A27" s="6">
        <v>0.27300000000000002</v>
      </c>
      <c r="B27" s="6">
        <v>0.27300000000000002</v>
      </c>
      <c r="C27" s="6">
        <v>0.27300000000000002</v>
      </c>
      <c r="D27" s="6">
        <v>0.27300000000000002</v>
      </c>
      <c r="E27" s="6">
        <v>0.27300000000000002</v>
      </c>
      <c r="F27" s="6">
        <v>0.27300000000000002</v>
      </c>
      <c r="G27" s="6">
        <v>0.27300000000000002</v>
      </c>
      <c r="H27" s="6">
        <v>0.27400000000000002</v>
      </c>
      <c r="I27" s="6">
        <v>0.27300000000000002</v>
      </c>
      <c r="J27" s="6">
        <v>0.27300000000000002</v>
      </c>
      <c r="K27" s="6">
        <v>0.27300000000000002</v>
      </c>
      <c r="L27" s="6">
        <v>0.27400000000000002</v>
      </c>
      <c r="M27" s="6">
        <v>0.27300000000000002</v>
      </c>
      <c r="N27" s="6">
        <v>0.27300000000000002</v>
      </c>
      <c r="O27" s="6">
        <v>0.27300000000000002</v>
      </c>
      <c r="P27" s="6">
        <v>0.27300000000000002</v>
      </c>
      <c r="Q27" s="6">
        <v>0.27400000000000002</v>
      </c>
      <c r="R27" s="6">
        <v>0.27400000000000002</v>
      </c>
      <c r="S27" s="6">
        <v>0.27300000000000002</v>
      </c>
      <c r="T27" s="6">
        <v>0.27300000000000002</v>
      </c>
      <c r="U27" s="5">
        <f>AVERAGE(A27:T27)</f>
        <v>0.2732</v>
      </c>
      <c r="V27" s="5">
        <f t="shared" ref="V27:V45" si="5">VARA(A27:T27)</f>
        <v>1.6842105263157924E-7</v>
      </c>
      <c r="W27" s="8">
        <f t="shared" si="4"/>
        <v>4.10391340834062E-4</v>
      </c>
    </row>
    <row r="28" spans="1:25" x14ac:dyDescent="0.25">
      <c r="A28" s="6">
        <v>0.27300000000000002</v>
      </c>
      <c r="B28" s="6">
        <v>0.27400000000000002</v>
      </c>
      <c r="C28" s="6">
        <v>0.27300000000000002</v>
      </c>
      <c r="D28" s="6">
        <v>0.27300000000000002</v>
      </c>
      <c r="E28" s="6">
        <v>0.27300000000000002</v>
      </c>
      <c r="F28" s="6">
        <v>0.27300000000000002</v>
      </c>
      <c r="G28" s="6">
        <v>0.27300000000000002</v>
      </c>
      <c r="H28" s="6">
        <v>0.27300000000000002</v>
      </c>
      <c r="I28" s="6">
        <v>0.27400000000000002</v>
      </c>
      <c r="J28" s="6">
        <v>0.27300000000000002</v>
      </c>
      <c r="K28" s="6">
        <v>0.27400000000000002</v>
      </c>
      <c r="L28" s="6">
        <v>0.27300000000000002</v>
      </c>
      <c r="M28" s="6">
        <v>0.27300000000000002</v>
      </c>
      <c r="N28" s="6">
        <v>0.27300000000000002</v>
      </c>
      <c r="O28" s="6">
        <v>0.27400000000000002</v>
      </c>
      <c r="P28" s="6">
        <v>0.27200000000000002</v>
      </c>
      <c r="Q28" s="6">
        <v>0.27300000000000002</v>
      </c>
      <c r="R28" s="6">
        <v>0.27400000000000002</v>
      </c>
      <c r="S28" s="6">
        <v>0.27300000000000002</v>
      </c>
      <c r="T28" s="6">
        <v>0.27300000000000002</v>
      </c>
      <c r="U28" s="5">
        <f t="shared" ref="U28:U45" si="6">AVERAGE(A28:T28)</f>
        <v>0.2732</v>
      </c>
      <c r="V28" s="5">
        <f t="shared" si="5"/>
        <v>2.7368421052631618E-7</v>
      </c>
      <c r="W28" s="8">
        <f t="shared" si="4"/>
        <v>5.2314836378059731E-4</v>
      </c>
    </row>
    <row r="29" spans="1:25" x14ac:dyDescent="0.25">
      <c r="A29" s="6">
        <v>0.27400000000000002</v>
      </c>
      <c r="B29" s="6">
        <v>0.27300000000000002</v>
      </c>
      <c r="C29" s="6">
        <v>0.27300000000000002</v>
      </c>
      <c r="D29" s="6">
        <v>0.27300000000000002</v>
      </c>
      <c r="E29" s="6">
        <v>0.27400000000000002</v>
      </c>
      <c r="F29" s="6">
        <v>0.27400000000000002</v>
      </c>
      <c r="G29" s="6">
        <v>0.27300000000000002</v>
      </c>
      <c r="H29" s="6">
        <v>0.27300000000000002</v>
      </c>
      <c r="I29" s="6">
        <v>0.27400000000000002</v>
      </c>
      <c r="J29" s="6">
        <v>0.27300000000000002</v>
      </c>
      <c r="K29" s="6">
        <v>0.27300000000000002</v>
      </c>
      <c r="L29" s="6">
        <v>0.27300000000000002</v>
      </c>
      <c r="M29" s="6">
        <v>0.27300000000000002</v>
      </c>
      <c r="N29" s="6">
        <v>0.27300000000000002</v>
      </c>
      <c r="O29" s="6">
        <v>0.27300000000000002</v>
      </c>
      <c r="P29" s="6">
        <v>0.27400000000000002</v>
      </c>
      <c r="Q29" s="6">
        <v>0.27300000000000002</v>
      </c>
      <c r="R29" s="6">
        <v>0.27300000000000002</v>
      </c>
      <c r="S29" s="6">
        <v>0.27300000000000002</v>
      </c>
      <c r="T29" s="6">
        <v>0.27300000000000002</v>
      </c>
      <c r="U29" s="5">
        <f t="shared" si="6"/>
        <v>0.27324999999999999</v>
      </c>
      <c r="V29" s="5">
        <f t="shared" si="5"/>
        <v>1.9736842105263197E-7</v>
      </c>
      <c r="W29" s="8">
        <f t="shared" si="4"/>
        <v>4.4426165831931973E-4</v>
      </c>
    </row>
    <row r="30" spans="1:25" x14ac:dyDescent="0.25">
      <c r="A30" s="6">
        <v>0.27400000000000002</v>
      </c>
      <c r="B30" s="6">
        <v>0.27400000000000002</v>
      </c>
      <c r="C30" s="6">
        <v>0.27400000000000002</v>
      </c>
      <c r="D30" s="6">
        <v>0.27300000000000002</v>
      </c>
      <c r="E30" s="6">
        <v>0.27400000000000002</v>
      </c>
      <c r="F30" s="6">
        <v>0.27300000000000002</v>
      </c>
      <c r="G30" s="6">
        <v>0.27400000000000002</v>
      </c>
      <c r="H30" s="6">
        <v>0.27300000000000002</v>
      </c>
      <c r="I30" s="6">
        <v>0.27300000000000002</v>
      </c>
      <c r="J30" s="6">
        <v>0.27300000000000002</v>
      </c>
      <c r="K30" s="6">
        <v>0.27300000000000002</v>
      </c>
      <c r="L30" s="6">
        <v>0.27300000000000002</v>
      </c>
      <c r="M30" s="6">
        <v>0.27300000000000002</v>
      </c>
      <c r="N30" s="6">
        <v>0.27400000000000002</v>
      </c>
      <c r="O30" s="6">
        <v>0.27400000000000002</v>
      </c>
      <c r="P30" s="6">
        <v>0.27300000000000002</v>
      </c>
      <c r="Q30" s="6">
        <v>0.27300000000000002</v>
      </c>
      <c r="R30" s="6">
        <v>0.27300000000000002</v>
      </c>
      <c r="S30" s="6">
        <v>0.27300000000000002</v>
      </c>
      <c r="T30" s="6">
        <v>0.27300000000000002</v>
      </c>
      <c r="U30" s="5">
        <f t="shared" si="6"/>
        <v>0.27334999999999998</v>
      </c>
      <c r="V30" s="5">
        <f t="shared" si="5"/>
        <v>2.3947368421052674E-7</v>
      </c>
      <c r="W30" s="8">
        <f t="shared" si="4"/>
        <v>4.8936048492959332E-4</v>
      </c>
    </row>
    <row r="31" spans="1:25" x14ac:dyDescent="0.25">
      <c r="A31" s="6">
        <v>0.27300000000000002</v>
      </c>
      <c r="B31" s="6">
        <v>0.27300000000000002</v>
      </c>
      <c r="C31" s="6">
        <v>0.27400000000000002</v>
      </c>
      <c r="D31" s="6">
        <v>0.27400000000000002</v>
      </c>
      <c r="E31" s="6">
        <v>0.27300000000000002</v>
      </c>
      <c r="F31" s="6">
        <v>0.27400000000000002</v>
      </c>
      <c r="G31" s="6">
        <v>0.27300000000000002</v>
      </c>
      <c r="H31" s="6">
        <v>0.27400000000000002</v>
      </c>
      <c r="I31" s="6">
        <v>0.27300000000000002</v>
      </c>
      <c r="J31" s="6">
        <v>0.27400000000000002</v>
      </c>
      <c r="K31" s="6">
        <v>0.27300000000000002</v>
      </c>
      <c r="L31" s="6">
        <v>0.27400000000000002</v>
      </c>
      <c r="M31" s="6">
        <v>0.27400000000000002</v>
      </c>
      <c r="N31" s="6">
        <v>0.27400000000000002</v>
      </c>
      <c r="O31" s="6">
        <v>0.27300000000000002</v>
      </c>
      <c r="P31" s="6">
        <v>0.27400000000000002</v>
      </c>
      <c r="Q31" s="6">
        <v>0.27300000000000002</v>
      </c>
      <c r="R31" s="6">
        <v>0.27300000000000002</v>
      </c>
      <c r="S31" s="6">
        <v>0.27400000000000002</v>
      </c>
      <c r="T31" s="6">
        <v>0.27300000000000002</v>
      </c>
      <c r="U31" s="5">
        <f t="shared" si="6"/>
        <v>0.27349999999999997</v>
      </c>
      <c r="V31" s="5">
        <f t="shared" si="5"/>
        <v>2.6315789473684261E-7</v>
      </c>
      <c r="W31" s="8">
        <f t="shared" si="4"/>
        <v>5.1298917604257759E-4</v>
      </c>
    </row>
    <row r="32" spans="1:25" x14ac:dyDescent="0.25">
      <c r="A32" s="6">
        <v>0.27400000000000002</v>
      </c>
      <c r="B32" s="6">
        <v>0.27300000000000002</v>
      </c>
      <c r="C32" s="6">
        <v>0.27400000000000002</v>
      </c>
      <c r="D32" s="6">
        <v>0.27300000000000002</v>
      </c>
      <c r="E32" s="6">
        <v>0.27300000000000002</v>
      </c>
      <c r="F32" s="6">
        <v>0.27300000000000002</v>
      </c>
      <c r="G32" s="6">
        <v>0.27300000000000002</v>
      </c>
      <c r="H32" s="6">
        <v>0.27300000000000002</v>
      </c>
      <c r="I32" s="6">
        <v>0.27500000000000002</v>
      </c>
      <c r="J32" s="6">
        <v>0.27300000000000002</v>
      </c>
      <c r="K32" s="6">
        <v>0.27300000000000002</v>
      </c>
      <c r="L32" s="6">
        <v>0.27300000000000002</v>
      </c>
      <c r="M32" s="6">
        <v>0.27400000000000002</v>
      </c>
      <c r="N32" s="6">
        <v>0.27300000000000002</v>
      </c>
      <c r="O32" s="6">
        <v>0.27300000000000002</v>
      </c>
      <c r="P32" s="6">
        <v>0.27300000000000002</v>
      </c>
      <c r="Q32" s="6">
        <v>0.27400000000000002</v>
      </c>
      <c r="R32" s="6">
        <v>0.27400000000000002</v>
      </c>
      <c r="S32" s="6">
        <v>0.27400000000000002</v>
      </c>
      <c r="T32" s="6">
        <v>0.27400000000000002</v>
      </c>
      <c r="U32" s="5">
        <f t="shared" si="6"/>
        <v>0.27345000000000003</v>
      </c>
      <c r="V32" s="5">
        <f t="shared" si="5"/>
        <v>3.6578947368421102E-7</v>
      </c>
      <c r="W32" s="8">
        <f t="shared" si="4"/>
        <v>6.048053188292998E-4</v>
      </c>
    </row>
    <row r="33" spans="1:23" x14ac:dyDescent="0.25">
      <c r="A33" s="6">
        <v>0.27300000000000002</v>
      </c>
      <c r="B33" s="6">
        <v>0.27300000000000002</v>
      </c>
      <c r="C33" s="6">
        <v>0.27300000000000002</v>
      </c>
      <c r="D33" s="6">
        <v>0.27300000000000002</v>
      </c>
      <c r="E33" s="6">
        <v>0.27300000000000002</v>
      </c>
      <c r="F33" s="6">
        <v>0.27300000000000002</v>
      </c>
      <c r="G33" s="6">
        <v>0.27300000000000002</v>
      </c>
      <c r="H33" s="6">
        <v>0.27300000000000002</v>
      </c>
      <c r="I33" s="6">
        <v>0.27400000000000002</v>
      </c>
      <c r="J33" s="6">
        <v>0.27300000000000002</v>
      </c>
      <c r="K33" s="6">
        <v>0.27300000000000002</v>
      </c>
      <c r="L33" s="6">
        <v>0.27300000000000002</v>
      </c>
      <c r="M33" s="6">
        <v>0.27400000000000002</v>
      </c>
      <c r="N33" s="6">
        <v>0.27300000000000002</v>
      </c>
      <c r="O33" s="6">
        <v>0.27300000000000002</v>
      </c>
      <c r="P33" s="6">
        <v>0.27300000000000002</v>
      </c>
      <c r="Q33" s="6">
        <v>0.27300000000000002</v>
      </c>
      <c r="R33" s="6">
        <v>0.27300000000000002</v>
      </c>
      <c r="S33" s="6">
        <v>0.27400000000000002</v>
      </c>
      <c r="T33" s="6">
        <v>0.27400000000000002</v>
      </c>
      <c r="U33" s="5">
        <f t="shared" si="6"/>
        <v>0.2732</v>
      </c>
      <c r="V33" s="5">
        <f t="shared" si="5"/>
        <v>1.6842105263157924E-7</v>
      </c>
      <c r="W33" s="8">
        <f t="shared" si="4"/>
        <v>4.10391340834062E-4</v>
      </c>
    </row>
    <row r="34" spans="1:23" x14ac:dyDescent="0.25">
      <c r="A34" s="6">
        <v>0.27400000000000002</v>
      </c>
      <c r="B34" s="6">
        <v>0.27400000000000002</v>
      </c>
      <c r="C34" s="6">
        <v>0.27400000000000002</v>
      </c>
      <c r="D34" s="6">
        <v>0.27300000000000002</v>
      </c>
      <c r="E34" s="6">
        <v>0.27300000000000002</v>
      </c>
      <c r="F34" s="6">
        <v>0.27400000000000002</v>
      </c>
      <c r="G34" s="6">
        <v>0.27400000000000002</v>
      </c>
      <c r="H34" s="6">
        <v>0.27300000000000002</v>
      </c>
      <c r="I34" s="6">
        <v>0.27300000000000002</v>
      </c>
      <c r="J34" s="6">
        <v>0.27300000000000002</v>
      </c>
      <c r="K34" s="6">
        <v>0.27200000000000002</v>
      </c>
      <c r="L34" s="6">
        <v>0.27400000000000002</v>
      </c>
      <c r="M34" s="6">
        <v>0.27400000000000002</v>
      </c>
      <c r="N34" s="6">
        <v>0.27400000000000002</v>
      </c>
      <c r="O34" s="6">
        <v>0.27400000000000002</v>
      </c>
      <c r="P34" s="6">
        <v>0.27400000000000002</v>
      </c>
      <c r="Q34" s="6">
        <v>0.27400000000000002</v>
      </c>
      <c r="R34" s="6">
        <v>0.27400000000000002</v>
      </c>
      <c r="S34" s="6">
        <v>0.27300000000000002</v>
      </c>
      <c r="T34" s="6">
        <v>0.27400000000000002</v>
      </c>
      <c r="U34" s="5">
        <f t="shared" si="6"/>
        <v>0.27360000000000001</v>
      </c>
      <c r="V34" s="5">
        <f t="shared" si="5"/>
        <v>3.5789473684210598E-7</v>
      </c>
      <c r="W34" s="8">
        <f t="shared" si="4"/>
        <v>5.9824304161611944E-4</v>
      </c>
    </row>
    <row r="35" spans="1:23" x14ac:dyDescent="0.25">
      <c r="A35" s="6">
        <v>0.27300000000000002</v>
      </c>
      <c r="B35" s="6">
        <v>0.27400000000000002</v>
      </c>
      <c r="C35" s="6">
        <v>0.27300000000000002</v>
      </c>
      <c r="D35" s="6">
        <v>0.27300000000000002</v>
      </c>
      <c r="E35" s="6">
        <v>0.27300000000000002</v>
      </c>
      <c r="F35" s="6">
        <v>0.27400000000000002</v>
      </c>
      <c r="G35" s="6">
        <v>0.27400000000000002</v>
      </c>
      <c r="H35" s="6">
        <v>0.27300000000000002</v>
      </c>
      <c r="I35" s="6">
        <v>0.27400000000000002</v>
      </c>
      <c r="J35" s="6">
        <v>0.27400000000000002</v>
      </c>
      <c r="K35" s="6">
        <v>0.27400000000000002</v>
      </c>
      <c r="L35" s="6">
        <v>0.27400000000000002</v>
      </c>
      <c r="M35" s="6">
        <v>0.27300000000000002</v>
      </c>
      <c r="N35" s="6">
        <v>0.27400000000000002</v>
      </c>
      <c r="O35" s="6">
        <v>0.27300000000000002</v>
      </c>
      <c r="P35" s="6">
        <v>0.27300000000000002</v>
      </c>
      <c r="Q35" s="6">
        <v>0.27300000000000002</v>
      </c>
      <c r="R35" s="6">
        <v>0.27300000000000002</v>
      </c>
      <c r="S35" s="6">
        <v>0.27400000000000002</v>
      </c>
      <c r="T35" s="6">
        <v>0.27300000000000002</v>
      </c>
      <c r="U35" s="5">
        <f t="shared" si="6"/>
        <v>0.27344999999999997</v>
      </c>
      <c r="V35" s="5">
        <f t="shared" si="5"/>
        <v>2.6052631578947414E-7</v>
      </c>
      <c r="W35" s="8">
        <f t="shared" si="4"/>
        <v>5.1041778553404091E-4</v>
      </c>
    </row>
    <row r="36" spans="1:23" x14ac:dyDescent="0.25">
      <c r="A36" s="6">
        <v>0.27300000000000002</v>
      </c>
      <c r="B36" s="6">
        <v>0.27300000000000002</v>
      </c>
      <c r="C36" s="6">
        <v>0.27300000000000002</v>
      </c>
      <c r="D36" s="6">
        <v>0.27300000000000002</v>
      </c>
      <c r="E36" s="6">
        <v>0.27300000000000002</v>
      </c>
      <c r="F36" s="6">
        <v>0.27400000000000002</v>
      </c>
      <c r="G36" s="6">
        <v>0.27300000000000002</v>
      </c>
      <c r="H36" s="6">
        <v>0.27300000000000002</v>
      </c>
      <c r="I36" s="6">
        <v>0.27300000000000002</v>
      </c>
      <c r="J36" s="6">
        <v>0.27400000000000002</v>
      </c>
      <c r="K36" s="6">
        <v>0.27400000000000002</v>
      </c>
      <c r="L36" s="6">
        <v>0.27400000000000002</v>
      </c>
      <c r="M36" s="6">
        <v>0.27300000000000002</v>
      </c>
      <c r="N36" s="6">
        <v>0.27400000000000002</v>
      </c>
      <c r="O36" s="6">
        <v>0.27400000000000002</v>
      </c>
      <c r="P36" s="6">
        <v>0.27300000000000002</v>
      </c>
      <c r="Q36" s="6">
        <v>0.27400000000000002</v>
      </c>
      <c r="R36" s="6">
        <v>0.27400000000000002</v>
      </c>
      <c r="S36" s="6">
        <v>0.27400000000000002</v>
      </c>
      <c r="T36" s="6">
        <v>0.27300000000000002</v>
      </c>
      <c r="U36" s="5">
        <f t="shared" si="6"/>
        <v>0.27345000000000003</v>
      </c>
      <c r="V36" s="5">
        <f t="shared" si="5"/>
        <v>2.6052631578947414E-7</v>
      </c>
      <c r="W36" s="8">
        <f t="shared" si="4"/>
        <v>5.1041778553404091E-4</v>
      </c>
    </row>
    <row r="37" spans="1:23" x14ac:dyDescent="0.25">
      <c r="A37" s="6">
        <v>0.27400000000000002</v>
      </c>
      <c r="B37" s="6">
        <v>0.27400000000000002</v>
      </c>
      <c r="C37" s="6">
        <v>0.27500000000000002</v>
      </c>
      <c r="D37" s="6">
        <v>0.27400000000000002</v>
      </c>
      <c r="E37" s="6">
        <v>0.27300000000000002</v>
      </c>
      <c r="F37" s="6">
        <v>0.27400000000000002</v>
      </c>
      <c r="G37" s="6">
        <v>0.27400000000000002</v>
      </c>
      <c r="H37" s="6">
        <v>0.27300000000000002</v>
      </c>
      <c r="I37" s="6">
        <v>0.27300000000000002</v>
      </c>
      <c r="J37" s="6">
        <v>0.27400000000000002</v>
      </c>
      <c r="K37" s="6">
        <v>0.27300000000000002</v>
      </c>
      <c r="L37" s="6">
        <v>0.27400000000000002</v>
      </c>
      <c r="M37" s="6">
        <v>0.27400000000000002</v>
      </c>
      <c r="N37" s="6">
        <v>0.27300000000000002</v>
      </c>
      <c r="O37" s="6">
        <v>0.27300000000000002</v>
      </c>
      <c r="P37" s="6">
        <v>0.27300000000000002</v>
      </c>
      <c r="Q37" s="6">
        <v>0.27300000000000002</v>
      </c>
      <c r="R37" s="6">
        <v>0.27300000000000002</v>
      </c>
      <c r="S37" s="6">
        <v>0.27300000000000002</v>
      </c>
      <c r="T37" s="6">
        <v>0.27400000000000002</v>
      </c>
      <c r="U37" s="5">
        <f t="shared" si="6"/>
        <v>0.27354999999999996</v>
      </c>
      <c r="V37" s="5">
        <f t="shared" si="5"/>
        <v>3.6578947368421102E-7</v>
      </c>
      <c r="W37" s="8">
        <f t="shared" si="4"/>
        <v>6.048053188292998E-4</v>
      </c>
    </row>
    <row r="38" spans="1:23" x14ac:dyDescent="0.25">
      <c r="A38" s="6">
        <v>0.27400000000000002</v>
      </c>
      <c r="B38" s="6">
        <v>0.27300000000000002</v>
      </c>
      <c r="C38" s="6">
        <v>0.27400000000000002</v>
      </c>
      <c r="D38" s="6">
        <v>0.27300000000000002</v>
      </c>
      <c r="E38" s="6">
        <v>0.27400000000000002</v>
      </c>
      <c r="F38" s="6">
        <v>0.27300000000000002</v>
      </c>
      <c r="G38" s="6">
        <v>0.27300000000000002</v>
      </c>
      <c r="H38" s="6">
        <v>0.27400000000000002</v>
      </c>
      <c r="I38" s="6">
        <v>0.27300000000000002</v>
      </c>
      <c r="J38" s="6">
        <v>0.27400000000000002</v>
      </c>
      <c r="K38" s="6">
        <v>0.27300000000000002</v>
      </c>
      <c r="L38" s="6">
        <v>0.27300000000000002</v>
      </c>
      <c r="M38" s="6">
        <v>0.27400000000000002</v>
      </c>
      <c r="N38" s="6">
        <v>0.27400000000000002</v>
      </c>
      <c r="O38" s="6">
        <v>0.27300000000000002</v>
      </c>
      <c r="P38" s="6">
        <v>0.27300000000000002</v>
      </c>
      <c r="Q38" s="6">
        <v>0.27400000000000002</v>
      </c>
      <c r="R38" s="6">
        <v>0.27400000000000002</v>
      </c>
      <c r="S38" s="6">
        <v>0.27400000000000002</v>
      </c>
      <c r="T38" s="6">
        <v>0.27300000000000002</v>
      </c>
      <c r="U38" s="5">
        <f t="shared" si="6"/>
        <v>0.27349999999999997</v>
      </c>
      <c r="V38" s="5">
        <f t="shared" si="5"/>
        <v>2.6315789473684266E-7</v>
      </c>
      <c r="W38" s="8">
        <f t="shared" si="4"/>
        <v>5.1298917604257759E-4</v>
      </c>
    </row>
    <row r="39" spans="1:23" x14ac:dyDescent="0.25">
      <c r="A39" s="6">
        <v>0.27300000000000002</v>
      </c>
      <c r="B39" s="6">
        <v>0.27400000000000002</v>
      </c>
      <c r="C39" s="6">
        <v>0.27400000000000002</v>
      </c>
      <c r="D39" s="6">
        <v>0.27300000000000002</v>
      </c>
      <c r="E39" s="6">
        <v>0.27400000000000002</v>
      </c>
      <c r="F39" s="6">
        <v>0.27400000000000002</v>
      </c>
      <c r="G39" s="6">
        <v>0.27400000000000002</v>
      </c>
      <c r="H39" s="6">
        <v>0.27300000000000002</v>
      </c>
      <c r="I39" s="6">
        <v>0.27400000000000002</v>
      </c>
      <c r="J39" s="6">
        <v>0.27400000000000002</v>
      </c>
      <c r="K39" s="6">
        <v>0.27400000000000002</v>
      </c>
      <c r="L39" s="6">
        <v>0.27400000000000002</v>
      </c>
      <c r="M39" s="6">
        <v>0.27300000000000002</v>
      </c>
      <c r="N39" s="6">
        <v>0.27300000000000002</v>
      </c>
      <c r="O39" s="6">
        <v>0.27300000000000002</v>
      </c>
      <c r="P39" s="6">
        <v>0.27400000000000002</v>
      </c>
      <c r="Q39" s="6">
        <v>0.27400000000000002</v>
      </c>
      <c r="R39" s="6">
        <v>0.27300000000000002</v>
      </c>
      <c r="S39" s="6">
        <v>0.27400000000000002</v>
      </c>
      <c r="T39" s="6">
        <v>0.27400000000000002</v>
      </c>
      <c r="U39" s="5">
        <f t="shared" si="6"/>
        <v>0.27365</v>
      </c>
      <c r="V39" s="5">
        <f t="shared" si="5"/>
        <v>2.3947368421052679E-7</v>
      </c>
      <c r="W39" s="8">
        <f t="shared" si="4"/>
        <v>4.8936048492959343E-4</v>
      </c>
    </row>
    <row r="40" spans="1:23" x14ac:dyDescent="0.25">
      <c r="A40" s="6">
        <v>0.27400000000000002</v>
      </c>
      <c r="B40" s="6">
        <v>0.27400000000000002</v>
      </c>
      <c r="C40" s="6">
        <v>0.27400000000000002</v>
      </c>
      <c r="D40" s="6">
        <v>0.27300000000000002</v>
      </c>
      <c r="E40" s="6">
        <v>0.27400000000000002</v>
      </c>
      <c r="F40" s="6">
        <v>0.27300000000000002</v>
      </c>
      <c r="G40" s="6">
        <v>0.27400000000000002</v>
      </c>
      <c r="H40" s="6">
        <v>0.27300000000000002</v>
      </c>
      <c r="I40" s="6">
        <v>0.27400000000000002</v>
      </c>
      <c r="J40" s="6">
        <v>0.27300000000000002</v>
      </c>
      <c r="K40" s="6">
        <v>0.27400000000000002</v>
      </c>
      <c r="L40" s="6">
        <v>0.27400000000000002</v>
      </c>
      <c r="M40" s="6">
        <v>0.27400000000000002</v>
      </c>
      <c r="N40" s="6">
        <v>0.27400000000000002</v>
      </c>
      <c r="O40" s="6">
        <v>0.27400000000000002</v>
      </c>
      <c r="P40" s="6">
        <v>0.27300000000000002</v>
      </c>
      <c r="Q40" s="6">
        <v>0.27300000000000002</v>
      </c>
      <c r="R40" s="6">
        <v>0.27300000000000002</v>
      </c>
      <c r="S40" s="6">
        <v>0.27400000000000002</v>
      </c>
      <c r="T40" s="6">
        <v>0.27400000000000002</v>
      </c>
      <c r="U40" s="5">
        <f t="shared" si="6"/>
        <v>0.27365</v>
      </c>
      <c r="V40" s="5">
        <f t="shared" si="5"/>
        <v>2.3947368421052679E-7</v>
      </c>
      <c r="W40" s="8">
        <f t="shared" si="4"/>
        <v>4.8936048492959343E-4</v>
      </c>
    </row>
    <row r="41" spans="1:23" x14ac:dyDescent="0.25">
      <c r="A41" s="6">
        <v>0.27300000000000002</v>
      </c>
      <c r="B41" s="6">
        <v>0.27300000000000002</v>
      </c>
      <c r="C41" s="6">
        <v>0.27400000000000002</v>
      </c>
      <c r="D41" s="6">
        <v>0.27400000000000002</v>
      </c>
      <c r="E41" s="6">
        <v>0.27400000000000002</v>
      </c>
      <c r="F41" s="6">
        <v>0.27400000000000002</v>
      </c>
      <c r="G41" s="6">
        <v>0.27300000000000002</v>
      </c>
      <c r="H41" s="6">
        <v>0.27300000000000002</v>
      </c>
      <c r="I41" s="6">
        <v>0.27300000000000002</v>
      </c>
      <c r="J41" s="6">
        <v>0.27300000000000002</v>
      </c>
      <c r="K41" s="6">
        <v>0.27300000000000002</v>
      </c>
      <c r="L41" s="6">
        <v>0.27300000000000002</v>
      </c>
      <c r="M41" s="6">
        <v>0.27300000000000002</v>
      </c>
      <c r="N41" s="6">
        <v>0.27400000000000002</v>
      </c>
      <c r="O41" s="6">
        <v>0.27300000000000002</v>
      </c>
      <c r="P41" s="6">
        <v>0.27300000000000002</v>
      </c>
      <c r="Q41" s="6">
        <v>0.27300000000000002</v>
      </c>
      <c r="R41" s="6">
        <v>0.27300000000000002</v>
      </c>
      <c r="S41" s="6">
        <v>0.27400000000000002</v>
      </c>
      <c r="T41" s="6">
        <v>0.27400000000000002</v>
      </c>
      <c r="U41" s="5">
        <f t="shared" si="6"/>
        <v>0.27334999999999998</v>
      </c>
      <c r="V41" s="5">
        <f t="shared" si="5"/>
        <v>2.3947368421052674E-7</v>
      </c>
      <c r="W41" s="8">
        <f t="shared" si="4"/>
        <v>4.8936048492959332E-4</v>
      </c>
    </row>
    <row r="42" spans="1:23" x14ac:dyDescent="0.25">
      <c r="A42" s="6">
        <v>0.27400000000000002</v>
      </c>
      <c r="B42" s="6">
        <v>0.27400000000000002</v>
      </c>
      <c r="C42" s="6">
        <v>0.27400000000000002</v>
      </c>
      <c r="D42" s="6">
        <v>0.27300000000000002</v>
      </c>
      <c r="E42" s="6">
        <v>0.27400000000000002</v>
      </c>
      <c r="F42" s="6">
        <v>0.27300000000000002</v>
      </c>
      <c r="G42" s="6">
        <v>0.27400000000000002</v>
      </c>
      <c r="H42" s="6">
        <v>0.27400000000000002</v>
      </c>
      <c r="I42" s="6">
        <v>0.27300000000000002</v>
      </c>
      <c r="J42" s="6">
        <v>0.27400000000000002</v>
      </c>
      <c r="K42" s="6">
        <v>0.27400000000000002</v>
      </c>
      <c r="L42" s="6">
        <v>0.27400000000000002</v>
      </c>
      <c r="M42" s="6">
        <v>0.27300000000000002</v>
      </c>
      <c r="N42" s="6">
        <v>0.27300000000000002</v>
      </c>
      <c r="O42" s="6">
        <v>0.27300000000000002</v>
      </c>
      <c r="P42" s="6">
        <v>0.27400000000000002</v>
      </c>
      <c r="Q42" s="6">
        <v>0.27400000000000002</v>
      </c>
      <c r="R42" s="6">
        <v>0.27400000000000002</v>
      </c>
      <c r="S42" s="6">
        <v>0.27300000000000002</v>
      </c>
      <c r="T42" s="6">
        <v>0.27300000000000002</v>
      </c>
      <c r="U42" s="5">
        <f t="shared" si="6"/>
        <v>0.27360000000000001</v>
      </c>
      <c r="V42" s="5">
        <f t="shared" si="5"/>
        <v>2.5263157894736883E-7</v>
      </c>
      <c r="W42" s="8">
        <f t="shared" si="4"/>
        <v>5.0262468995003506E-4</v>
      </c>
    </row>
    <row r="43" spans="1:23" x14ac:dyDescent="0.25">
      <c r="A43" s="6">
        <v>0.27400000000000002</v>
      </c>
      <c r="B43" s="6">
        <v>0.27400000000000002</v>
      </c>
      <c r="C43" s="6">
        <v>0.27400000000000002</v>
      </c>
      <c r="D43" s="6">
        <v>0.27400000000000002</v>
      </c>
      <c r="E43" s="6">
        <v>0.27400000000000002</v>
      </c>
      <c r="F43" s="6">
        <v>0.27300000000000002</v>
      </c>
      <c r="G43" s="6">
        <v>0.27400000000000002</v>
      </c>
      <c r="H43" s="6">
        <v>0.27300000000000002</v>
      </c>
      <c r="I43" s="6">
        <v>0.27400000000000002</v>
      </c>
      <c r="J43" s="6">
        <v>0.27400000000000002</v>
      </c>
      <c r="K43" s="6">
        <v>0.27400000000000002</v>
      </c>
      <c r="L43" s="6">
        <v>0.27300000000000002</v>
      </c>
      <c r="M43" s="6">
        <v>0.27300000000000002</v>
      </c>
      <c r="N43" s="6">
        <v>0.27300000000000002</v>
      </c>
      <c r="O43" s="6">
        <v>0.27400000000000002</v>
      </c>
      <c r="P43" s="6">
        <v>0.27400000000000002</v>
      </c>
      <c r="Q43" s="6">
        <v>0.27400000000000002</v>
      </c>
      <c r="R43" s="6">
        <v>0.27400000000000002</v>
      </c>
      <c r="S43" s="6">
        <v>0.27400000000000002</v>
      </c>
      <c r="T43" s="6">
        <v>0.27400000000000002</v>
      </c>
      <c r="U43" s="5">
        <f t="shared" si="6"/>
        <v>0.27375000000000005</v>
      </c>
      <c r="V43" s="5">
        <f t="shared" si="5"/>
        <v>1.9736842105263197E-7</v>
      </c>
      <c r="W43" s="8">
        <f t="shared" si="4"/>
        <v>4.4426165831931973E-4</v>
      </c>
    </row>
    <row r="44" spans="1:23" x14ac:dyDescent="0.25">
      <c r="A44" s="6">
        <v>0.27300000000000002</v>
      </c>
      <c r="B44" s="6">
        <v>0.27300000000000002</v>
      </c>
      <c r="C44" s="6">
        <v>0.27300000000000002</v>
      </c>
      <c r="D44" s="6">
        <v>0.27400000000000002</v>
      </c>
      <c r="E44" s="6">
        <v>0.27300000000000002</v>
      </c>
      <c r="F44" s="6">
        <v>0.27400000000000002</v>
      </c>
      <c r="G44" s="6">
        <v>0.27400000000000002</v>
      </c>
      <c r="H44" s="6">
        <v>0.27400000000000002</v>
      </c>
      <c r="I44" s="6">
        <v>0.27400000000000002</v>
      </c>
      <c r="J44" s="6">
        <v>0.27400000000000002</v>
      </c>
      <c r="K44" s="6">
        <v>0.27400000000000002</v>
      </c>
      <c r="L44" s="6">
        <v>0.27400000000000002</v>
      </c>
      <c r="M44" s="6">
        <v>0.27400000000000002</v>
      </c>
      <c r="N44" s="6">
        <v>0.27400000000000002</v>
      </c>
      <c r="O44" s="6">
        <v>0.27400000000000002</v>
      </c>
      <c r="P44" s="6">
        <v>0.27300000000000002</v>
      </c>
      <c r="Q44" s="6">
        <v>0.27400000000000002</v>
      </c>
      <c r="R44" s="6">
        <v>0.27400000000000002</v>
      </c>
      <c r="S44" s="6">
        <v>0.27300000000000002</v>
      </c>
      <c r="T44" s="6">
        <v>0.27400000000000002</v>
      </c>
      <c r="U44" s="5">
        <f t="shared" si="6"/>
        <v>0.27369999999999994</v>
      </c>
      <c r="V44" s="5">
        <f t="shared" si="5"/>
        <v>2.2105263157894763E-7</v>
      </c>
      <c r="W44" s="8">
        <f t="shared" si="4"/>
        <v>4.7016234598162751E-4</v>
      </c>
    </row>
    <row r="45" spans="1:23" x14ac:dyDescent="0.25">
      <c r="A45" s="6">
        <v>0.27400000000000002</v>
      </c>
      <c r="B45" s="6">
        <v>0.27400000000000002</v>
      </c>
      <c r="C45" s="6">
        <v>0.27400000000000002</v>
      </c>
      <c r="D45" s="6">
        <v>0.27400000000000002</v>
      </c>
      <c r="E45" s="6">
        <v>0.27400000000000002</v>
      </c>
      <c r="F45" s="6">
        <v>0.27400000000000002</v>
      </c>
      <c r="G45" s="6">
        <v>0.27400000000000002</v>
      </c>
      <c r="H45" s="6">
        <v>0.27400000000000002</v>
      </c>
      <c r="I45" s="6">
        <v>0.27300000000000002</v>
      </c>
      <c r="J45" s="6">
        <v>0.27400000000000002</v>
      </c>
      <c r="K45" s="6">
        <v>0.27400000000000002</v>
      </c>
      <c r="L45" s="6">
        <v>0.27400000000000002</v>
      </c>
      <c r="M45" s="6">
        <v>0.27400000000000002</v>
      </c>
      <c r="N45" s="6">
        <v>0.27400000000000002</v>
      </c>
      <c r="O45" s="6">
        <v>0.27400000000000002</v>
      </c>
      <c r="P45" s="6">
        <v>0.27300000000000002</v>
      </c>
      <c r="Q45" s="6">
        <v>0.27400000000000002</v>
      </c>
      <c r="R45" s="6">
        <v>0.27400000000000002</v>
      </c>
      <c r="S45" s="6">
        <v>0.27400000000000002</v>
      </c>
      <c r="T45" s="6">
        <v>0.27400000000000002</v>
      </c>
      <c r="U45" s="5">
        <f t="shared" si="6"/>
        <v>0.27389999999999998</v>
      </c>
      <c r="V45" s="5">
        <f t="shared" si="5"/>
        <v>9.4736842105263305E-8</v>
      </c>
      <c r="W45" s="8">
        <f t="shared" si="4"/>
        <v>3.0779350562554648E-4</v>
      </c>
    </row>
    <row r="46" spans="1:23" x14ac:dyDescent="0.25">
      <c r="U46" s="11">
        <f>AVERAGE(U26:U45)</f>
        <v>0.27347500000000002</v>
      </c>
      <c r="V46" s="11">
        <f>AVERAGE(V26:V45)</f>
        <v>2.4710526315789516E-7</v>
      </c>
      <c r="W46" s="11">
        <f>AVERAGE(W26:W45)</f>
        <v>4.9241464047857474E-4</v>
      </c>
    </row>
  </sheetData>
  <mergeCells count="1">
    <mergeCell ref="A1:U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1A63D9-3FD7-4826-B694-5C08FB74D3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FINAL v3</vt:lpstr>
      <vt:lpstr>FINAL v2</vt:lpstr>
      <vt:lpstr>Algoritmos Factores</vt:lpstr>
      <vt:lpstr>GENERAL</vt:lpstr>
      <vt:lpstr>WET_ensayo</vt:lpstr>
      <vt:lpstr>WET_4</vt:lpstr>
      <vt:lpstr>WET_3</vt:lpstr>
      <vt:lpstr>WET_2</vt:lpstr>
      <vt:lpstr>WET sin flujo</vt:lpstr>
      <vt:lpstr>WET con flujo</vt:lpstr>
      <vt:lpstr>WEe sin flujo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UNRaf_Libre</dc:creator>
  <cp:lastModifiedBy>Gustavo Castro</cp:lastModifiedBy>
  <dcterms:created xsi:type="dcterms:W3CDTF">2015-06-05T18:19:34Z</dcterms:created>
  <dcterms:modified xsi:type="dcterms:W3CDTF">2026-02-25T02:46:36Z</dcterms:modified>
</cp:coreProperties>
</file>